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Nextcloud\BOX.SVG-PDT.UCBL\SAE\"/>
    </mc:Choice>
  </mc:AlternateContent>
  <xr:revisionPtr revIDLastSave="0" documentId="13_ncr:1_{250E752A-8B5C-4CB0-96F8-4B5425F07DD9}" xr6:coauthVersionLast="47" xr6:coauthVersionMax="47" xr10:uidLastSave="{00000000-0000-0000-0000-000000000000}"/>
  <bookViews>
    <workbookView xWindow="-120" yWindow="-120" windowWidth="29040" windowHeight="15720" xr2:uid="{8BCC9179-8C83-4084-B79A-9AF2F12CC8FC}"/>
  </bookViews>
  <sheets>
    <sheet name="Synthèse" sheetId="22" r:id="rId1"/>
    <sheet name="Séance 4" sheetId="15" r:id="rId2"/>
    <sheet name="Séance 5" sheetId="16" r:id="rId3"/>
    <sheet name="Séance 6" sheetId="17" r:id="rId4"/>
    <sheet name="Séance 7" sheetId="18" r:id="rId5"/>
    <sheet name="Séance 8" sheetId="19" r:id="rId6"/>
    <sheet name="Séance 9" sheetId="20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20" l="1"/>
  <c r="B4" i="20"/>
  <c r="C4" i="20"/>
  <c r="D4" i="20"/>
  <c r="D26" i="20" s="1"/>
  <c r="E17" i="22" s="1"/>
  <c r="E4" i="20"/>
  <c r="A5" i="20"/>
  <c r="B5" i="20"/>
  <c r="C5" i="20"/>
  <c r="F5" i="20" s="1"/>
  <c r="D5" i="20"/>
  <c r="E5" i="20"/>
  <c r="A6" i="20"/>
  <c r="B6" i="20"/>
  <c r="B26" i="20" s="1"/>
  <c r="C17" i="22" s="1"/>
  <c r="C6" i="20"/>
  <c r="D6" i="20"/>
  <c r="E6" i="20"/>
  <c r="A7" i="20"/>
  <c r="B7" i="20"/>
  <c r="C7" i="20"/>
  <c r="D7" i="20"/>
  <c r="E7" i="20"/>
  <c r="A8" i="20"/>
  <c r="B8" i="20"/>
  <c r="C8" i="20"/>
  <c r="D8" i="20"/>
  <c r="F8" i="20" s="1"/>
  <c r="E8" i="20"/>
  <c r="A9" i="20"/>
  <c r="B9" i="20"/>
  <c r="C9" i="20"/>
  <c r="F9" i="20" s="1"/>
  <c r="D9" i="20"/>
  <c r="E9" i="20"/>
  <c r="A10" i="20"/>
  <c r="B10" i="20"/>
  <c r="F10" i="20" s="1"/>
  <c r="C10" i="20"/>
  <c r="D10" i="20"/>
  <c r="E10" i="20"/>
  <c r="A11" i="20"/>
  <c r="B11" i="20"/>
  <c r="C11" i="20"/>
  <c r="D11" i="20"/>
  <c r="E11" i="20"/>
  <c r="A12" i="20"/>
  <c r="B12" i="20"/>
  <c r="C12" i="20"/>
  <c r="D12" i="20"/>
  <c r="F12" i="20" s="1"/>
  <c r="E12" i="20"/>
  <c r="A13" i="20"/>
  <c r="B13" i="20"/>
  <c r="C13" i="20"/>
  <c r="F13" i="20" s="1"/>
  <c r="D13" i="20"/>
  <c r="E13" i="20"/>
  <c r="A14" i="20"/>
  <c r="B14" i="20"/>
  <c r="F14" i="20" s="1"/>
  <c r="C14" i="20"/>
  <c r="D14" i="20"/>
  <c r="E14" i="20"/>
  <c r="A15" i="20"/>
  <c r="B15" i="20"/>
  <c r="C15" i="20"/>
  <c r="D15" i="20"/>
  <c r="E15" i="20"/>
  <c r="A16" i="20"/>
  <c r="B16" i="20"/>
  <c r="C16" i="20"/>
  <c r="D16" i="20"/>
  <c r="F16" i="20" s="1"/>
  <c r="E16" i="20"/>
  <c r="A17" i="20"/>
  <c r="B17" i="20"/>
  <c r="C17" i="20"/>
  <c r="F17" i="20" s="1"/>
  <c r="D17" i="20"/>
  <c r="E17" i="20"/>
  <c r="A18" i="20"/>
  <c r="B18" i="20"/>
  <c r="F18" i="20" s="1"/>
  <c r="C18" i="20"/>
  <c r="D18" i="20"/>
  <c r="E18" i="20"/>
  <c r="A19" i="20"/>
  <c r="B19" i="20"/>
  <c r="C19" i="20"/>
  <c r="D19" i="20"/>
  <c r="E19" i="20"/>
  <c r="A20" i="20"/>
  <c r="B20" i="20"/>
  <c r="C20" i="20"/>
  <c r="D20" i="20"/>
  <c r="F20" i="20" s="1"/>
  <c r="E20" i="20"/>
  <c r="A21" i="20"/>
  <c r="B21" i="20"/>
  <c r="C21" i="20"/>
  <c r="F21" i="20" s="1"/>
  <c r="D21" i="20"/>
  <c r="E21" i="20"/>
  <c r="A22" i="20"/>
  <c r="B22" i="20"/>
  <c r="F22" i="20" s="1"/>
  <c r="C22" i="20"/>
  <c r="D22" i="20"/>
  <c r="E22" i="20"/>
  <c r="A23" i="20"/>
  <c r="B23" i="20"/>
  <c r="C23" i="20"/>
  <c r="D23" i="20"/>
  <c r="E23" i="20"/>
  <c r="A24" i="20"/>
  <c r="B24" i="20"/>
  <c r="C24" i="20"/>
  <c r="D24" i="20"/>
  <c r="F24" i="20" s="1"/>
  <c r="E24" i="20"/>
  <c r="A25" i="20"/>
  <c r="B25" i="20"/>
  <c r="C25" i="20"/>
  <c r="F25" i="20" s="1"/>
  <c r="D25" i="20"/>
  <c r="E25" i="20"/>
  <c r="B3" i="20"/>
  <c r="C3" i="20"/>
  <c r="D3" i="20"/>
  <c r="E3" i="20"/>
  <c r="A3" i="20"/>
  <c r="A4" i="19"/>
  <c r="B4" i="19"/>
  <c r="C4" i="19"/>
  <c r="C26" i="19" s="1"/>
  <c r="D15" i="22" s="1"/>
  <c r="D4" i="19"/>
  <c r="D26" i="19" s="1"/>
  <c r="E15" i="22" s="1"/>
  <c r="E4" i="19"/>
  <c r="A5" i="19"/>
  <c r="B5" i="19"/>
  <c r="F5" i="19" s="1"/>
  <c r="C5" i="19"/>
  <c r="D5" i="19"/>
  <c r="E5" i="19"/>
  <c r="A6" i="19"/>
  <c r="B6" i="19"/>
  <c r="F6" i="19" s="1"/>
  <c r="C6" i="19"/>
  <c r="D6" i="19"/>
  <c r="E6" i="19"/>
  <c r="A7" i="19"/>
  <c r="B7" i="19"/>
  <c r="C7" i="19"/>
  <c r="D7" i="19"/>
  <c r="F7" i="19" s="1"/>
  <c r="E7" i="19"/>
  <c r="A8" i="19"/>
  <c r="B8" i="19"/>
  <c r="C8" i="19"/>
  <c r="D8" i="19"/>
  <c r="F8" i="19" s="1"/>
  <c r="E8" i="19"/>
  <c r="A9" i="19"/>
  <c r="B9" i="19"/>
  <c r="F9" i="19" s="1"/>
  <c r="C9" i="19"/>
  <c r="D9" i="19"/>
  <c r="E9" i="19"/>
  <c r="A10" i="19"/>
  <c r="B10" i="19"/>
  <c r="F10" i="19" s="1"/>
  <c r="C10" i="19"/>
  <c r="D10" i="19"/>
  <c r="E10" i="19"/>
  <c r="A11" i="19"/>
  <c r="B11" i="19"/>
  <c r="C11" i="19"/>
  <c r="D11" i="19"/>
  <c r="F11" i="19" s="1"/>
  <c r="E11" i="19"/>
  <c r="A12" i="19"/>
  <c r="B12" i="19"/>
  <c r="C12" i="19"/>
  <c r="D12" i="19"/>
  <c r="F12" i="19" s="1"/>
  <c r="E12" i="19"/>
  <c r="A13" i="19"/>
  <c r="B13" i="19"/>
  <c r="F13" i="19" s="1"/>
  <c r="C13" i="19"/>
  <c r="D13" i="19"/>
  <c r="E13" i="19"/>
  <c r="A14" i="19"/>
  <c r="B14" i="19"/>
  <c r="F14" i="19" s="1"/>
  <c r="C14" i="19"/>
  <c r="D14" i="19"/>
  <c r="E14" i="19"/>
  <c r="A15" i="19"/>
  <c r="B15" i="19"/>
  <c r="C15" i="19"/>
  <c r="D15" i="19"/>
  <c r="F15" i="19" s="1"/>
  <c r="E15" i="19"/>
  <c r="A16" i="19"/>
  <c r="B16" i="19"/>
  <c r="C16" i="19"/>
  <c r="D16" i="19"/>
  <c r="F16" i="19" s="1"/>
  <c r="E16" i="19"/>
  <c r="A17" i="19"/>
  <c r="B17" i="19"/>
  <c r="F17" i="19" s="1"/>
  <c r="C17" i="19"/>
  <c r="D17" i="19"/>
  <c r="E17" i="19"/>
  <c r="A18" i="19"/>
  <c r="B18" i="19"/>
  <c r="F18" i="19" s="1"/>
  <c r="C18" i="19"/>
  <c r="D18" i="19"/>
  <c r="E18" i="19"/>
  <c r="A19" i="19"/>
  <c r="B19" i="19"/>
  <c r="C19" i="19"/>
  <c r="D19" i="19"/>
  <c r="F19" i="19" s="1"/>
  <c r="E19" i="19"/>
  <c r="A20" i="19"/>
  <c r="B20" i="19"/>
  <c r="C20" i="19"/>
  <c r="D20" i="19"/>
  <c r="F20" i="19" s="1"/>
  <c r="E20" i="19"/>
  <c r="A21" i="19"/>
  <c r="B21" i="19"/>
  <c r="F21" i="19" s="1"/>
  <c r="C21" i="19"/>
  <c r="D21" i="19"/>
  <c r="E21" i="19"/>
  <c r="A22" i="19"/>
  <c r="B22" i="19"/>
  <c r="F22" i="19" s="1"/>
  <c r="C22" i="19"/>
  <c r="D22" i="19"/>
  <c r="E22" i="19"/>
  <c r="A23" i="19"/>
  <c r="B23" i="19"/>
  <c r="C23" i="19"/>
  <c r="D23" i="19"/>
  <c r="F23" i="19" s="1"/>
  <c r="E23" i="19"/>
  <c r="A24" i="19"/>
  <c r="B24" i="19"/>
  <c r="C24" i="19"/>
  <c r="D24" i="19"/>
  <c r="F24" i="19" s="1"/>
  <c r="E24" i="19"/>
  <c r="A25" i="19"/>
  <c r="B25" i="19"/>
  <c r="F25" i="19" s="1"/>
  <c r="C25" i="19"/>
  <c r="D25" i="19"/>
  <c r="E25" i="19"/>
  <c r="B3" i="19"/>
  <c r="C3" i="19"/>
  <c r="D3" i="19"/>
  <c r="E3" i="19"/>
  <c r="A3" i="19"/>
  <c r="A4" i="18"/>
  <c r="B4" i="18"/>
  <c r="C4" i="18"/>
  <c r="D4" i="18"/>
  <c r="F4" i="18" s="1"/>
  <c r="E4" i="18"/>
  <c r="A5" i="18"/>
  <c r="B5" i="18"/>
  <c r="C5" i="18"/>
  <c r="F5" i="18" s="1"/>
  <c r="D5" i="18"/>
  <c r="E5" i="18"/>
  <c r="A6" i="18"/>
  <c r="B6" i="18"/>
  <c r="B26" i="18" s="1"/>
  <c r="C13" i="22" s="1"/>
  <c r="C6" i="18"/>
  <c r="D6" i="18"/>
  <c r="E6" i="18"/>
  <c r="A7" i="18"/>
  <c r="B7" i="18"/>
  <c r="C7" i="18"/>
  <c r="D7" i="18"/>
  <c r="E7" i="18"/>
  <c r="E26" i="18" s="1"/>
  <c r="F13" i="22" s="1"/>
  <c r="A8" i="18"/>
  <c r="B8" i="18"/>
  <c r="C8" i="18"/>
  <c r="D8" i="18"/>
  <c r="F8" i="18" s="1"/>
  <c r="E8" i="18"/>
  <c r="A9" i="18"/>
  <c r="B9" i="18"/>
  <c r="C9" i="18"/>
  <c r="F9" i="18" s="1"/>
  <c r="D9" i="18"/>
  <c r="E9" i="18"/>
  <c r="A10" i="18"/>
  <c r="B10" i="18"/>
  <c r="F10" i="18" s="1"/>
  <c r="C10" i="18"/>
  <c r="D10" i="18"/>
  <c r="E10" i="18"/>
  <c r="A11" i="18"/>
  <c r="B11" i="18"/>
  <c r="C11" i="18"/>
  <c r="D11" i="18"/>
  <c r="E11" i="18"/>
  <c r="F11" i="18" s="1"/>
  <c r="A12" i="18"/>
  <c r="B12" i="18"/>
  <c r="C12" i="18"/>
  <c r="D12" i="18"/>
  <c r="F12" i="18" s="1"/>
  <c r="E12" i="18"/>
  <c r="A13" i="18"/>
  <c r="B13" i="18"/>
  <c r="C13" i="18"/>
  <c r="F13" i="18" s="1"/>
  <c r="D13" i="18"/>
  <c r="E13" i="18"/>
  <c r="A14" i="18"/>
  <c r="B14" i="18"/>
  <c r="F14" i="18" s="1"/>
  <c r="C14" i="18"/>
  <c r="D14" i="18"/>
  <c r="E14" i="18"/>
  <c r="A15" i="18"/>
  <c r="B15" i="18"/>
  <c r="C15" i="18"/>
  <c r="D15" i="18"/>
  <c r="E15" i="18"/>
  <c r="F15" i="18" s="1"/>
  <c r="A16" i="18"/>
  <c r="B16" i="18"/>
  <c r="C16" i="18"/>
  <c r="D16" i="18"/>
  <c r="F16" i="18" s="1"/>
  <c r="E16" i="18"/>
  <c r="A17" i="18"/>
  <c r="B17" i="18"/>
  <c r="C17" i="18"/>
  <c r="F17" i="18" s="1"/>
  <c r="D17" i="18"/>
  <c r="E17" i="18"/>
  <c r="A18" i="18"/>
  <c r="B18" i="18"/>
  <c r="F18" i="18" s="1"/>
  <c r="C18" i="18"/>
  <c r="D18" i="18"/>
  <c r="E18" i="18"/>
  <c r="A19" i="18"/>
  <c r="B19" i="18"/>
  <c r="C19" i="18"/>
  <c r="D19" i="18"/>
  <c r="E19" i="18"/>
  <c r="F19" i="18" s="1"/>
  <c r="A20" i="18"/>
  <c r="B20" i="18"/>
  <c r="C20" i="18"/>
  <c r="D20" i="18"/>
  <c r="F20" i="18" s="1"/>
  <c r="E20" i="18"/>
  <c r="A21" i="18"/>
  <c r="B21" i="18"/>
  <c r="C21" i="18"/>
  <c r="F21" i="18" s="1"/>
  <c r="D21" i="18"/>
  <c r="E21" i="18"/>
  <c r="A22" i="18"/>
  <c r="B22" i="18"/>
  <c r="F22" i="18" s="1"/>
  <c r="C22" i="18"/>
  <c r="D22" i="18"/>
  <c r="E22" i="18"/>
  <c r="A23" i="18"/>
  <c r="B23" i="18"/>
  <c r="C23" i="18"/>
  <c r="D23" i="18"/>
  <c r="E23" i="18"/>
  <c r="F23" i="18" s="1"/>
  <c r="A24" i="18"/>
  <c r="B24" i="18"/>
  <c r="C24" i="18"/>
  <c r="D24" i="18"/>
  <c r="F24" i="18" s="1"/>
  <c r="E24" i="18"/>
  <c r="A25" i="18"/>
  <c r="B25" i="18"/>
  <c r="C25" i="18"/>
  <c r="F25" i="18" s="1"/>
  <c r="D25" i="18"/>
  <c r="E25" i="18"/>
  <c r="B3" i="18"/>
  <c r="C3" i="18"/>
  <c r="D3" i="18"/>
  <c r="E3" i="18"/>
  <c r="F3" i="18" s="1"/>
  <c r="A3" i="18"/>
  <c r="A4" i="17"/>
  <c r="B4" i="17"/>
  <c r="C4" i="17"/>
  <c r="D4" i="17"/>
  <c r="D26" i="17" s="1"/>
  <c r="E4" i="17"/>
  <c r="A5" i="17"/>
  <c r="B5" i="17"/>
  <c r="C5" i="17"/>
  <c r="F5" i="17" s="1"/>
  <c r="D5" i="17"/>
  <c r="E5" i="17"/>
  <c r="A6" i="17"/>
  <c r="B6" i="17"/>
  <c r="B26" i="17" s="1"/>
  <c r="C11" i="22" s="1"/>
  <c r="C6" i="17"/>
  <c r="D6" i="17"/>
  <c r="E6" i="17"/>
  <c r="A7" i="17"/>
  <c r="B7" i="17"/>
  <c r="C7" i="17"/>
  <c r="D7" i="17"/>
  <c r="E7" i="17"/>
  <c r="F7" i="17" s="1"/>
  <c r="A8" i="17"/>
  <c r="B8" i="17"/>
  <c r="C8" i="17"/>
  <c r="D8" i="17"/>
  <c r="F8" i="17" s="1"/>
  <c r="E8" i="17"/>
  <c r="A9" i="17"/>
  <c r="B9" i="17"/>
  <c r="C9" i="17"/>
  <c r="F9" i="17" s="1"/>
  <c r="D9" i="17"/>
  <c r="E9" i="17"/>
  <c r="A10" i="17"/>
  <c r="B10" i="17"/>
  <c r="F10" i="17" s="1"/>
  <c r="C10" i="17"/>
  <c r="D10" i="17"/>
  <c r="E10" i="17"/>
  <c r="A11" i="17"/>
  <c r="B11" i="17"/>
  <c r="C11" i="17"/>
  <c r="D11" i="17"/>
  <c r="E11" i="17"/>
  <c r="F11" i="17" s="1"/>
  <c r="A12" i="17"/>
  <c r="B12" i="17"/>
  <c r="C12" i="17"/>
  <c r="D12" i="17"/>
  <c r="F12" i="17" s="1"/>
  <c r="E12" i="17"/>
  <c r="A13" i="17"/>
  <c r="B13" i="17"/>
  <c r="C13" i="17"/>
  <c r="F13" i="17" s="1"/>
  <c r="D13" i="17"/>
  <c r="E13" i="17"/>
  <c r="A14" i="17"/>
  <c r="B14" i="17"/>
  <c r="F14" i="17" s="1"/>
  <c r="C14" i="17"/>
  <c r="D14" i="17"/>
  <c r="E14" i="17"/>
  <c r="A15" i="17"/>
  <c r="B15" i="17"/>
  <c r="C15" i="17"/>
  <c r="D15" i="17"/>
  <c r="E15" i="17"/>
  <c r="F15" i="17" s="1"/>
  <c r="A16" i="17"/>
  <c r="B16" i="17"/>
  <c r="C16" i="17"/>
  <c r="D16" i="17"/>
  <c r="F16" i="17" s="1"/>
  <c r="E16" i="17"/>
  <c r="A17" i="17"/>
  <c r="B17" i="17"/>
  <c r="C17" i="17"/>
  <c r="F17" i="17" s="1"/>
  <c r="D17" i="17"/>
  <c r="E17" i="17"/>
  <c r="A18" i="17"/>
  <c r="B18" i="17"/>
  <c r="F18" i="17" s="1"/>
  <c r="C18" i="17"/>
  <c r="D18" i="17"/>
  <c r="E18" i="17"/>
  <c r="A19" i="17"/>
  <c r="B19" i="17"/>
  <c r="C19" i="17"/>
  <c r="D19" i="17"/>
  <c r="E19" i="17"/>
  <c r="F19" i="17" s="1"/>
  <c r="A20" i="17"/>
  <c r="B20" i="17"/>
  <c r="C20" i="17"/>
  <c r="D20" i="17"/>
  <c r="F20" i="17" s="1"/>
  <c r="E20" i="17"/>
  <c r="A21" i="17"/>
  <c r="B21" i="17"/>
  <c r="C21" i="17"/>
  <c r="F21" i="17" s="1"/>
  <c r="D21" i="17"/>
  <c r="E21" i="17"/>
  <c r="A22" i="17"/>
  <c r="B22" i="17"/>
  <c r="F22" i="17" s="1"/>
  <c r="C22" i="17"/>
  <c r="D22" i="17"/>
  <c r="E22" i="17"/>
  <c r="A23" i="17"/>
  <c r="B23" i="17"/>
  <c r="C23" i="17"/>
  <c r="D23" i="17"/>
  <c r="E23" i="17"/>
  <c r="F23" i="17" s="1"/>
  <c r="A24" i="17"/>
  <c r="B24" i="17"/>
  <c r="C24" i="17"/>
  <c r="D24" i="17"/>
  <c r="F24" i="17" s="1"/>
  <c r="E24" i="17"/>
  <c r="A25" i="17"/>
  <c r="B25" i="17"/>
  <c r="C25" i="17"/>
  <c r="F25" i="17" s="1"/>
  <c r="D25" i="17"/>
  <c r="E25" i="17"/>
  <c r="B3" i="17"/>
  <c r="C3" i="17"/>
  <c r="D3" i="17"/>
  <c r="E3" i="17"/>
  <c r="A3" i="17"/>
  <c r="A7" i="16"/>
  <c r="F4" i="15"/>
  <c r="F5" i="15"/>
  <c r="F6" i="15"/>
  <c r="F7" i="15"/>
  <c r="F8" i="15"/>
  <c r="F9" i="15"/>
  <c r="F10" i="15"/>
  <c r="F11" i="15"/>
  <c r="F12" i="15"/>
  <c r="F13" i="15"/>
  <c r="F14" i="15"/>
  <c r="F15" i="15"/>
  <c r="F16" i="15"/>
  <c r="F17" i="15"/>
  <c r="F18" i="15"/>
  <c r="F19" i="15"/>
  <c r="F20" i="15"/>
  <c r="F21" i="15"/>
  <c r="F22" i="15"/>
  <c r="F23" i="15"/>
  <c r="F24" i="15"/>
  <c r="F25" i="15"/>
  <c r="A4" i="16"/>
  <c r="B4" i="16"/>
  <c r="C4" i="16"/>
  <c r="D4" i="16"/>
  <c r="E4" i="16"/>
  <c r="A5" i="16"/>
  <c r="B5" i="16"/>
  <c r="F5" i="16" s="1"/>
  <c r="G5" i="18" s="1"/>
  <c r="C5" i="16"/>
  <c r="D5" i="16"/>
  <c r="E5" i="16"/>
  <c r="A6" i="16"/>
  <c r="B6" i="16"/>
  <c r="C6" i="16"/>
  <c r="D6" i="16"/>
  <c r="E6" i="16"/>
  <c r="B7" i="16"/>
  <c r="C7" i="16"/>
  <c r="D7" i="16"/>
  <c r="E7" i="16"/>
  <c r="A8" i="16"/>
  <c r="B8" i="16"/>
  <c r="C8" i="16"/>
  <c r="D8" i="16"/>
  <c r="E8" i="16"/>
  <c r="A9" i="16"/>
  <c r="B9" i="16"/>
  <c r="F9" i="16" s="1"/>
  <c r="G9" i="19" s="1"/>
  <c r="C9" i="16"/>
  <c r="D9" i="16"/>
  <c r="E9" i="16"/>
  <c r="A10" i="16"/>
  <c r="B10" i="16"/>
  <c r="C10" i="16"/>
  <c r="D10" i="16"/>
  <c r="E10" i="16"/>
  <c r="A11" i="16"/>
  <c r="B11" i="16"/>
  <c r="C11" i="16"/>
  <c r="D11" i="16"/>
  <c r="E11" i="16"/>
  <c r="A12" i="16"/>
  <c r="B12" i="16"/>
  <c r="C12" i="16"/>
  <c r="D12" i="16"/>
  <c r="E12" i="16"/>
  <c r="A13" i="16"/>
  <c r="B13" i="16"/>
  <c r="F13" i="16" s="1"/>
  <c r="G13" i="19" s="1"/>
  <c r="C13" i="16"/>
  <c r="D13" i="16"/>
  <c r="E13" i="16"/>
  <c r="A14" i="16"/>
  <c r="B14" i="16"/>
  <c r="C14" i="16"/>
  <c r="D14" i="16"/>
  <c r="E14" i="16"/>
  <c r="A15" i="16"/>
  <c r="B15" i="16"/>
  <c r="C15" i="16"/>
  <c r="D15" i="16"/>
  <c r="E15" i="16"/>
  <c r="A16" i="16"/>
  <c r="B16" i="16"/>
  <c r="C16" i="16"/>
  <c r="D16" i="16"/>
  <c r="E16" i="16"/>
  <c r="A17" i="16"/>
  <c r="B17" i="16"/>
  <c r="C17" i="16"/>
  <c r="D17" i="16"/>
  <c r="E17" i="16"/>
  <c r="A18" i="16"/>
  <c r="B18" i="16"/>
  <c r="C18" i="16"/>
  <c r="D18" i="16"/>
  <c r="E18" i="16"/>
  <c r="A19" i="16"/>
  <c r="B19" i="16"/>
  <c r="C19" i="16"/>
  <c r="D19" i="16"/>
  <c r="E19" i="16"/>
  <c r="A20" i="16"/>
  <c r="B20" i="16"/>
  <c r="C20" i="16"/>
  <c r="D20" i="16"/>
  <c r="E20" i="16"/>
  <c r="A21" i="16"/>
  <c r="B21" i="16"/>
  <c r="F21" i="16" s="1"/>
  <c r="G21" i="19" s="1"/>
  <c r="C21" i="16"/>
  <c r="D21" i="16"/>
  <c r="E21" i="16"/>
  <c r="A22" i="16"/>
  <c r="B22" i="16"/>
  <c r="C22" i="16"/>
  <c r="D22" i="16"/>
  <c r="E22" i="16"/>
  <c r="A23" i="16"/>
  <c r="B23" i="16"/>
  <c r="C23" i="16"/>
  <c r="D23" i="16"/>
  <c r="E23" i="16"/>
  <c r="A24" i="16"/>
  <c r="B24" i="16"/>
  <c r="C24" i="16"/>
  <c r="D24" i="16"/>
  <c r="E24" i="16"/>
  <c r="A25" i="16"/>
  <c r="B25" i="16"/>
  <c r="C25" i="16"/>
  <c r="D25" i="16"/>
  <c r="E25" i="16"/>
  <c r="B3" i="16"/>
  <c r="C3" i="16"/>
  <c r="D3" i="16"/>
  <c r="E3" i="16"/>
  <c r="A3" i="16"/>
  <c r="D11" i="22"/>
  <c r="C26" i="20"/>
  <c r="D17" i="22" s="1"/>
  <c r="F23" i="20"/>
  <c r="F19" i="20"/>
  <c r="F15" i="20"/>
  <c r="F11" i="20"/>
  <c r="F7" i="20"/>
  <c r="E1" i="20"/>
  <c r="D1" i="20"/>
  <c r="C1" i="20"/>
  <c r="B1" i="20"/>
  <c r="M26" i="19"/>
  <c r="L26" i="19"/>
  <c r="K26" i="19"/>
  <c r="J26" i="19"/>
  <c r="N25" i="19"/>
  <c r="N24" i="19"/>
  <c r="N23" i="19"/>
  <c r="N22" i="19"/>
  <c r="N21" i="19"/>
  <c r="N20" i="19"/>
  <c r="N19" i="19"/>
  <c r="N18" i="19"/>
  <c r="N17" i="19"/>
  <c r="N16" i="19"/>
  <c r="N15" i="19"/>
  <c r="N14" i="19"/>
  <c r="N13" i="19"/>
  <c r="N12" i="19"/>
  <c r="N11" i="19"/>
  <c r="N10" i="19"/>
  <c r="N9" i="19"/>
  <c r="N8" i="19"/>
  <c r="N7" i="19"/>
  <c r="N6" i="19"/>
  <c r="N26" i="19" s="1"/>
  <c r="N5" i="19"/>
  <c r="N4" i="19"/>
  <c r="N3" i="19"/>
  <c r="M1" i="19"/>
  <c r="L1" i="19"/>
  <c r="K1" i="19"/>
  <c r="J1" i="19"/>
  <c r="E1" i="19"/>
  <c r="D1" i="19"/>
  <c r="C1" i="19"/>
  <c r="B1" i="19"/>
  <c r="M26" i="18"/>
  <c r="L26" i="18"/>
  <c r="K26" i="18"/>
  <c r="J26" i="18"/>
  <c r="C26" i="18"/>
  <c r="D13" i="22" s="1"/>
  <c r="N25" i="18"/>
  <c r="N24" i="18"/>
  <c r="N23" i="18"/>
  <c r="N22" i="18"/>
  <c r="N21" i="18"/>
  <c r="N20" i="18"/>
  <c r="N19" i="18"/>
  <c r="N18" i="18"/>
  <c r="N17" i="18"/>
  <c r="N16" i="18"/>
  <c r="N15" i="18"/>
  <c r="N14" i="18"/>
  <c r="N13" i="18"/>
  <c r="N12" i="18"/>
  <c r="N11" i="18"/>
  <c r="N10" i="18"/>
  <c r="N9" i="18"/>
  <c r="N8" i="18"/>
  <c r="N7" i="18"/>
  <c r="N6" i="18"/>
  <c r="N26" i="18" s="1"/>
  <c r="N5" i="18"/>
  <c r="N4" i="18"/>
  <c r="N3" i="18"/>
  <c r="M1" i="18"/>
  <c r="L1" i="18"/>
  <c r="K1" i="18"/>
  <c r="J1" i="18"/>
  <c r="E1" i="18"/>
  <c r="D1" i="18"/>
  <c r="C1" i="18"/>
  <c r="B1" i="18"/>
  <c r="M26" i="17"/>
  <c r="L26" i="17"/>
  <c r="K26" i="17"/>
  <c r="J26" i="17"/>
  <c r="N25" i="17"/>
  <c r="N24" i="17"/>
  <c r="N23" i="17"/>
  <c r="N22" i="17"/>
  <c r="N21" i="17"/>
  <c r="N20" i="17"/>
  <c r="N19" i="17"/>
  <c r="N18" i="17"/>
  <c r="N17" i="17"/>
  <c r="N16" i="17"/>
  <c r="N15" i="17"/>
  <c r="N14" i="17"/>
  <c r="N13" i="17"/>
  <c r="N12" i="17"/>
  <c r="N11" i="17"/>
  <c r="N10" i="17"/>
  <c r="N9" i="17"/>
  <c r="N8" i="17"/>
  <c r="N7" i="17"/>
  <c r="N6" i="17"/>
  <c r="N5" i="17"/>
  <c r="N4" i="17"/>
  <c r="N3" i="17"/>
  <c r="M1" i="17"/>
  <c r="L1" i="17"/>
  <c r="K1" i="17"/>
  <c r="J1" i="17"/>
  <c r="E1" i="17"/>
  <c r="D1" i="17"/>
  <c r="C1" i="17"/>
  <c r="B1" i="17"/>
  <c r="D21" i="22"/>
  <c r="E21" i="22"/>
  <c r="F21" i="22"/>
  <c r="F8" i="22"/>
  <c r="E8" i="22"/>
  <c r="D8" i="22"/>
  <c r="C8" i="22"/>
  <c r="N4" i="16"/>
  <c r="N5" i="16"/>
  <c r="N6" i="16"/>
  <c r="N7" i="16"/>
  <c r="N8" i="16"/>
  <c r="N9" i="16"/>
  <c r="N10" i="16"/>
  <c r="N11" i="16"/>
  <c r="N12" i="16"/>
  <c r="N13" i="16"/>
  <c r="N14" i="16"/>
  <c r="N15" i="16"/>
  <c r="N16" i="16"/>
  <c r="N17" i="16"/>
  <c r="N18" i="16"/>
  <c r="N19" i="16"/>
  <c r="N20" i="16"/>
  <c r="N21" i="16"/>
  <c r="N22" i="16"/>
  <c r="N23" i="16"/>
  <c r="N24" i="16"/>
  <c r="N25" i="16"/>
  <c r="N3" i="16"/>
  <c r="C26" i="16"/>
  <c r="D9" i="22" s="1"/>
  <c r="F17" i="16"/>
  <c r="G17" i="19" s="1"/>
  <c r="E1" i="16"/>
  <c r="D1" i="16"/>
  <c r="C1" i="16"/>
  <c r="B1" i="16"/>
  <c r="M26" i="16"/>
  <c r="L26" i="16"/>
  <c r="K26" i="16"/>
  <c r="J26" i="16"/>
  <c r="M1" i="16"/>
  <c r="L1" i="16"/>
  <c r="K1" i="16"/>
  <c r="J1" i="16"/>
  <c r="E1" i="15"/>
  <c r="D1" i="15"/>
  <c r="C1" i="15"/>
  <c r="B1" i="15"/>
  <c r="C26" i="15"/>
  <c r="D26" i="15"/>
  <c r="E26" i="15"/>
  <c r="B26" i="15"/>
  <c r="F4" i="20" l="1"/>
  <c r="E26" i="20"/>
  <c r="F17" i="22" s="1"/>
  <c r="F6" i="20"/>
  <c r="F3" i="20"/>
  <c r="F4" i="19"/>
  <c r="B26" i="19"/>
  <c r="C15" i="22" s="1"/>
  <c r="E26" i="19"/>
  <c r="F15" i="22" s="1"/>
  <c r="F3" i="19"/>
  <c r="N26" i="17"/>
  <c r="F7" i="18"/>
  <c r="D26" i="18"/>
  <c r="E13" i="22" s="1"/>
  <c r="F6" i="18"/>
  <c r="F26" i="18" s="1"/>
  <c r="F4" i="17"/>
  <c r="F6" i="17"/>
  <c r="C26" i="17"/>
  <c r="E26" i="17"/>
  <c r="F11" i="22" s="1"/>
  <c r="F3" i="17"/>
  <c r="F25" i="16"/>
  <c r="G25" i="20" s="1"/>
  <c r="F24" i="16"/>
  <c r="G24" i="17" s="1"/>
  <c r="F23" i="16"/>
  <c r="G23" i="16" s="1"/>
  <c r="F22" i="16"/>
  <c r="G22" i="17" s="1"/>
  <c r="F20" i="16"/>
  <c r="F19" i="16"/>
  <c r="G19" i="18" s="1"/>
  <c r="F18" i="16"/>
  <c r="G18" i="17" s="1"/>
  <c r="F16" i="16"/>
  <c r="G16" i="17" s="1"/>
  <c r="F15" i="16"/>
  <c r="F14" i="16"/>
  <c r="G14" i="19" s="1"/>
  <c r="F12" i="16"/>
  <c r="G12" i="19" s="1"/>
  <c r="F11" i="16"/>
  <c r="G11" i="20" s="1"/>
  <c r="F10" i="16"/>
  <c r="F8" i="16"/>
  <c r="G8" i="20" s="1"/>
  <c r="F7" i="16"/>
  <c r="G7" i="20" s="1"/>
  <c r="F6" i="16"/>
  <c r="G6" i="18" s="1"/>
  <c r="D26" i="16"/>
  <c r="E9" i="22" s="1"/>
  <c r="G24" i="20"/>
  <c r="G24" i="19"/>
  <c r="G24" i="18"/>
  <c r="G20" i="19"/>
  <c r="G20" i="18"/>
  <c r="G20" i="17"/>
  <c r="G20" i="20"/>
  <c r="G18" i="19"/>
  <c r="G18" i="18"/>
  <c r="G15" i="16"/>
  <c r="G15" i="20"/>
  <c r="G15" i="19"/>
  <c r="G15" i="18"/>
  <c r="G15" i="17"/>
  <c r="G12" i="20"/>
  <c r="G12" i="17"/>
  <c r="G10" i="20"/>
  <c r="G10" i="19"/>
  <c r="G10" i="18"/>
  <c r="G10" i="17"/>
  <c r="G10" i="16"/>
  <c r="G23" i="18"/>
  <c r="G23" i="17"/>
  <c r="G22" i="18"/>
  <c r="G19" i="20"/>
  <c r="G19" i="19"/>
  <c r="G19" i="17"/>
  <c r="G14" i="16"/>
  <c r="G14" i="20"/>
  <c r="G14" i="18"/>
  <c r="G14" i="17"/>
  <c r="G11" i="16"/>
  <c r="G8" i="19"/>
  <c r="G8" i="18"/>
  <c r="G8" i="17"/>
  <c r="F4" i="16"/>
  <c r="G21" i="16"/>
  <c r="G13" i="16"/>
  <c r="G9" i="20"/>
  <c r="G17" i="20"/>
  <c r="G21" i="20"/>
  <c r="B26" i="16"/>
  <c r="C9" i="22" s="1"/>
  <c r="E26" i="16"/>
  <c r="F9" i="22" s="1"/>
  <c r="G13" i="20"/>
  <c r="G17" i="16"/>
  <c r="G9" i="16"/>
  <c r="G9" i="17"/>
  <c r="G13" i="17"/>
  <c r="G17" i="17"/>
  <c r="G21" i="17"/>
  <c r="G9" i="18"/>
  <c r="G13" i="18"/>
  <c r="G17" i="18"/>
  <c r="G21" i="18"/>
  <c r="F3" i="16"/>
  <c r="G5" i="16"/>
  <c r="G5" i="17"/>
  <c r="G5" i="19"/>
  <c r="G5" i="20"/>
  <c r="F26" i="19"/>
  <c r="G25" i="19"/>
  <c r="G25" i="17"/>
  <c r="F26" i="17"/>
  <c r="G25" i="18"/>
  <c r="F26" i="20"/>
  <c r="J27" i="19"/>
  <c r="L27" i="19"/>
  <c r="K27" i="19"/>
  <c r="M27" i="19"/>
  <c r="J27" i="18"/>
  <c r="K27" i="18"/>
  <c r="M27" i="18"/>
  <c r="L27" i="18"/>
  <c r="J27" i="17"/>
  <c r="L27" i="17"/>
  <c r="M27" i="17"/>
  <c r="K27" i="17"/>
  <c r="G25" i="16"/>
  <c r="G20" i="16"/>
  <c r="G12" i="16"/>
  <c r="G19" i="16"/>
  <c r="N26" i="16"/>
  <c r="E11" i="22" l="1"/>
  <c r="G7" i="17"/>
  <c r="G7" i="18"/>
  <c r="F26" i="16"/>
  <c r="G26" i="16" s="1"/>
  <c r="G7" i="16"/>
  <c r="G16" i="18"/>
  <c r="G6" i="19"/>
  <c r="G11" i="17"/>
  <c r="G6" i="16"/>
  <c r="G11" i="18"/>
  <c r="G22" i="19"/>
  <c r="G16" i="16"/>
  <c r="G16" i="20"/>
  <c r="G6" i="17"/>
  <c r="G11" i="19"/>
  <c r="G22" i="16"/>
  <c r="G22" i="20"/>
  <c r="G16" i="19"/>
  <c r="G23" i="19"/>
  <c r="G7" i="19"/>
  <c r="G12" i="18"/>
  <c r="G18" i="16"/>
  <c r="G18" i="20"/>
  <c r="G8" i="16"/>
  <c r="G24" i="16"/>
  <c r="G6" i="20"/>
  <c r="G23" i="20"/>
  <c r="G26" i="20"/>
  <c r="B27" i="20" s="1"/>
  <c r="C18" i="22" s="1"/>
  <c r="G26" i="19"/>
  <c r="D27" i="19" s="1"/>
  <c r="E16" i="22" s="1"/>
  <c r="G26" i="17"/>
  <c r="E27" i="17" s="1"/>
  <c r="F12" i="22" s="1"/>
  <c r="G26" i="18"/>
  <c r="D27" i="18" s="1"/>
  <c r="E14" i="22" s="1"/>
  <c r="D27" i="17"/>
  <c r="E12" i="22" s="1"/>
  <c r="N27" i="19"/>
  <c r="N27" i="18"/>
  <c r="N27" i="17"/>
  <c r="B27" i="16"/>
  <c r="C10" i="22" s="1"/>
  <c r="D20" i="22"/>
  <c r="L27" i="16"/>
  <c r="M27" i="16"/>
  <c r="K27" i="16"/>
  <c r="J27" i="16"/>
  <c r="E20" i="22"/>
  <c r="G17" i="22"/>
  <c r="G15" i="22"/>
  <c r="C20" i="22"/>
  <c r="C27" i="20" l="1"/>
  <c r="D18" i="22" s="1"/>
  <c r="D27" i="20"/>
  <c r="E18" i="22" s="1"/>
  <c r="E27" i="20"/>
  <c r="F18" i="22" s="1"/>
  <c r="C27" i="17"/>
  <c r="D12" i="22" s="1"/>
  <c r="B27" i="19"/>
  <c r="C16" i="22" s="1"/>
  <c r="E27" i="19"/>
  <c r="F16" i="22" s="1"/>
  <c r="B27" i="17"/>
  <c r="C12" i="22" s="1"/>
  <c r="C27" i="19"/>
  <c r="F20" i="22"/>
  <c r="C27" i="18"/>
  <c r="D14" i="22" s="1"/>
  <c r="B27" i="18"/>
  <c r="C14" i="22" s="1"/>
  <c r="E27" i="18"/>
  <c r="F14" i="22" s="1"/>
  <c r="N27" i="16"/>
  <c r="G13" i="22"/>
  <c r="G11" i="22"/>
  <c r="F27" i="20" l="1"/>
  <c r="F27" i="17"/>
  <c r="D16" i="22"/>
  <c r="F27" i="19"/>
  <c r="G27" i="19" s="1"/>
  <c r="F27" i="18"/>
  <c r="G27" i="18" s="1"/>
  <c r="G27" i="17"/>
  <c r="G27" i="20"/>
  <c r="F3" i="15"/>
  <c r="G4" i="19" l="1"/>
  <c r="G4" i="20"/>
  <c r="G4" i="16"/>
  <c r="G4" i="18"/>
  <c r="G4" i="17"/>
  <c r="G3" i="20"/>
  <c r="G3" i="16"/>
  <c r="G3" i="17"/>
  <c r="G3" i="18"/>
  <c r="G3" i="19"/>
  <c r="F26" i="15"/>
  <c r="B27" i="15" s="1"/>
  <c r="E27" i="15" l="1"/>
  <c r="C27" i="15"/>
  <c r="D27" i="15"/>
  <c r="F27" i="15" l="1"/>
  <c r="G9" i="22"/>
  <c r="D27" i="16"/>
  <c r="E10" i="22" s="1"/>
  <c r="E27" i="16"/>
  <c r="F10" i="22" s="1"/>
  <c r="C27" i="16"/>
  <c r="D10" i="22" s="1"/>
  <c r="G20" i="22" l="1"/>
  <c r="C21" i="22" s="1"/>
  <c r="C19" i="22"/>
  <c r="E19" i="22"/>
  <c r="F19" i="22"/>
  <c r="D19" i="22"/>
  <c r="F27" i="16"/>
  <c r="G27" i="16" s="1"/>
</calcChain>
</file>

<file path=xl/sharedStrings.xml><?xml version="1.0" encoding="utf-8"?>
<sst xmlns="http://schemas.openxmlformats.org/spreadsheetml/2006/main" count="130" uniqueCount="43">
  <si>
    <t>Nom du projet</t>
  </si>
  <si>
    <t>Nom du tuteur</t>
  </si>
  <si>
    <t>Durée totale estimée (heures)</t>
  </si>
  <si>
    <t>Nom étudiant</t>
  </si>
  <si>
    <t>Prénom étudiant</t>
  </si>
  <si>
    <t>Nom1</t>
  </si>
  <si>
    <t>Prénom1</t>
  </si>
  <si>
    <t>Nom2</t>
  </si>
  <si>
    <t>Prénom2</t>
  </si>
  <si>
    <t>Nom3</t>
  </si>
  <si>
    <t>Prénom3</t>
  </si>
  <si>
    <t>Nom4</t>
  </si>
  <si>
    <t>Prénom4</t>
  </si>
  <si>
    <t>Volume global travaillé</t>
  </si>
  <si>
    <t>Pourcentage global</t>
  </si>
  <si>
    <t>Total</t>
  </si>
  <si>
    <t>Bilan des tâches réalisées</t>
  </si>
  <si>
    <t>Tâches prévues</t>
  </si>
  <si>
    <t>Volume global prévu</t>
  </si>
  <si>
    <t>Pourcentage global prévu</t>
  </si>
  <si>
    <t>Notre tuteur</t>
  </si>
  <si>
    <t>Bilan de la répartation du travail depuis le début du développement</t>
  </si>
  <si>
    <t>Ma super SAE de folie sur laquelle je vais consacrer tout mon semestre ^^</t>
  </si>
  <si>
    <t>Séance 5</t>
  </si>
  <si>
    <t>Séance 6</t>
  </si>
  <si>
    <t>Séance 7</t>
  </si>
  <si>
    <t>Séance 8</t>
  </si>
  <si>
    <t>Séance 9</t>
  </si>
  <si>
    <t>Nombre d'heures travaillées</t>
  </si>
  <si>
    <t>Répartation en pourcentage</t>
  </si>
  <si>
    <t>Temps de travail global</t>
  </si>
  <si>
    <t>Moyenne de travail par séance</t>
  </si>
  <si>
    <t>Durée estimée</t>
  </si>
  <si>
    <t>Durée estimée2</t>
  </si>
  <si>
    <t>Durée estimée3</t>
  </si>
  <si>
    <t>Durée estimée4</t>
  </si>
  <si>
    <t>Total réel</t>
  </si>
  <si>
    <t>Ecart relatif  entre prévisionnel et réel</t>
  </si>
  <si>
    <t>Description de la tâche</t>
  </si>
  <si>
    <t>Durée réelle en heures</t>
  </si>
  <si>
    <t>Durée réelle en heures2</t>
  </si>
  <si>
    <t>Durée réelle en heures3</t>
  </si>
  <si>
    <t>Durée réelle en heures4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</si>
</sst>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0" xfId="0" applyFont="1" applyAlignment="1">
      <alignment wrapText="1"/>
    </xf>
    <xf numFmtId="0" fontId="1" fillId="0" borderId="4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1" fillId="0" borderId="9" xfId="0" applyFont="1" applyBorder="1" applyAlignment="1">
      <alignment wrapText="1"/>
    </xf>
    <xf numFmtId="0" fontId="2" fillId="2" borderId="9" xfId="0" applyFont="1" applyFill="1" applyBorder="1" applyAlignment="1">
      <alignment wrapText="1"/>
    </xf>
    <xf numFmtId="0" fontId="3" fillId="2" borderId="9" xfId="0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2" fillId="2" borderId="7" xfId="0" applyFont="1" applyFill="1" applyBorder="1" applyAlignment="1">
      <alignment wrapText="1"/>
    </xf>
    <xf numFmtId="0" fontId="2" fillId="2" borderId="2" xfId="0" applyFont="1" applyFill="1" applyBorder="1" applyAlignment="1">
      <alignment wrapText="1"/>
    </xf>
    <xf numFmtId="0" fontId="3" fillId="2" borderId="5" xfId="0" applyFont="1" applyFill="1" applyBorder="1" applyAlignment="1">
      <alignment wrapText="1"/>
    </xf>
    <xf numFmtId="0" fontId="3" fillId="2" borderId="6" xfId="0" applyFont="1" applyFill="1" applyBorder="1" applyAlignment="1">
      <alignment wrapText="1"/>
    </xf>
    <xf numFmtId="9" fontId="1" fillId="0" borderId="6" xfId="0" applyNumberFormat="1" applyFont="1" applyBorder="1" applyAlignment="1">
      <alignment wrapText="1"/>
    </xf>
    <xf numFmtId="0" fontId="2" fillId="2" borderId="3" xfId="0" applyFont="1" applyFill="1" applyBorder="1" applyAlignment="1">
      <alignment wrapText="1"/>
    </xf>
    <xf numFmtId="1" fontId="1" fillId="2" borderId="4" xfId="0" applyNumberFormat="1" applyFont="1" applyFill="1" applyBorder="1" applyAlignment="1">
      <alignment wrapText="1"/>
    </xf>
    <xf numFmtId="0" fontId="3" fillId="3" borderId="9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2" fillId="3" borderId="7" xfId="0" applyFont="1" applyFill="1" applyBorder="1" applyAlignment="1">
      <alignment wrapText="1"/>
    </xf>
    <xf numFmtId="0" fontId="3" fillId="3" borderId="5" xfId="0" applyFont="1" applyFill="1" applyBorder="1" applyAlignment="1">
      <alignment wrapText="1"/>
    </xf>
    <xf numFmtId="0" fontId="1" fillId="0" borderId="10" xfId="0" applyFont="1" applyBorder="1" applyAlignment="1">
      <alignment wrapText="1"/>
    </xf>
    <xf numFmtId="1" fontId="1" fillId="2" borderId="2" xfId="0" applyNumberFormat="1" applyFont="1" applyFill="1" applyBorder="1" applyAlignment="1">
      <alignment wrapText="1"/>
    </xf>
    <xf numFmtId="0" fontId="1" fillId="3" borderId="7" xfId="0" applyFont="1" applyFill="1" applyBorder="1" applyAlignment="1">
      <alignment wrapText="1"/>
    </xf>
    <xf numFmtId="0" fontId="2" fillId="3" borderId="3" xfId="0" applyFont="1" applyFill="1" applyBorder="1" applyAlignment="1">
      <alignment wrapText="1"/>
    </xf>
    <xf numFmtId="0" fontId="1" fillId="3" borderId="8" xfId="0" applyFont="1" applyFill="1" applyBorder="1" applyAlignment="1">
      <alignment wrapText="1"/>
    </xf>
    <xf numFmtId="0" fontId="2" fillId="2" borderId="3" xfId="0" applyFont="1" applyFill="1" applyBorder="1" applyAlignment="1">
      <alignment horizontal="center" vertical="center" wrapText="1"/>
    </xf>
    <xf numFmtId="49" fontId="1" fillId="0" borderId="2" xfId="0" applyNumberFormat="1" applyFont="1" applyBorder="1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wrapText="1"/>
    </xf>
    <xf numFmtId="0" fontId="2" fillId="2" borderId="6" xfId="0" applyFont="1" applyFill="1" applyBorder="1" applyAlignment="1">
      <alignment horizontal="center" wrapText="1"/>
    </xf>
    <xf numFmtId="1" fontId="1" fillId="0" borderId="9" xfId="0" applyNumberFormat="1" applyFont="1" applyBorder="1" applyAlignment="1">
      <alignment horizontal="center" vertical="center" wrapText="1"/>
    </xf>
    <xf numFmtId="1" fontId="1" fillId="0" borderId="6" xfId="0" applyNumberFormat="1" applyFont="1" applyBorder="1" applyAlignment="1">
      <alignment horizontal="center" vertical="center" wrapText="1"/>
    </xf>
    <xf numFmtId="1" fontId="1" fillId="4" borderId="6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0" fontId="2" fillId="4" borderId="9" xfId="0" applyFont="1" applyFill="1" applyBorder="1" applyAlignment="1">
      <alignment wrapText="1"/>
    </xf>
    <xf numFmtId="0" fontId="2" fillId="5" borderId="9" xfId="0" applyFont="1" applyFill="1" applyBorder="1" applyAlignment="1">
      <alignment wrapText="1"/>
    </xf>
    <xf numFmtId="164" fontId="2" fillId="5" borderId="9" xfId="0" applyNumberFormat="1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164" fontId="2" fillId="5" borderId="6" xfId="0" applyNumberFormat="1" applyFont="1" applyFill="1" applyBorder="1" applyAlignment="1">
      <alignment horizontal="center" vertical="center" wrapText="1"/>
    </xf>
    <xf numFmtId="0" fontId="2" fillId="5" borderId="8" xfId="0" applyFont="1" applyFill="1" applyBorder="1" applyAlignment="1">
      <alignment wrapText="1"/>
    </xf>
    <xf numFmtId="1" fontId="1" fillId="5" borderId="4" xfId="0" applyNumberFormat="1" applyFont="1" applyFill="1" applyBorder="1" applyAlignment="1">
      <alignment horizontal="center" vertical="center" wrapText="1"/>
    </xf>
    <xf numFmtId="1" fontId="2" fillId="4" borderId="9" xfId="0" applyNumberFormat="1" applyFont="1" applyFill="1" applyBorder="1" applyAlignment="1">
      <alignment horizontal="center" vertical="center" wrapText="1"/>
    </xf>
    <xf numFmtId="1" fontId="2" fillId="5" borderId="8" xfId="0" applyNumberFormat="1" applyFont="1" applyFill="1" applyBorder="1" applyAlignment="1">
      <alignment horizontal="center" vertical="center" wrapText="1"/>
    </xf>
    <xf numFmtId="2" fontId="1" fillId="0" borderId="9" xfId="0" applyNumberFormat="1" applyFont="1" applyBorder="1" applyAlignment="1">
      <alignment wrapText="1"/>
    </xf>
    <xf numFmtId="2" fontId="1" fillId="0" borderId="11" xfId="0" applyNumberFormat="1" applyFont="1" applyBorder="1" applyAlignment="1">
      <alignment wrapText="1"/>
    </xf>
    <xf numFmtId="2" fontId="1" fillId="3" borderId="7" xfId="0" applyNumberFormat="1" applyFont="1" applyFill="1" applyBorder="1" applyAlignment="1">
      <alignment wrapText="1"/>
    </xf>
    <xf numFmtId="1" fontId="2" fillId="3" borderId="8" xfId="0" applyNumberFormat="1" applyFont="1" applyFill="1" applyBorder="1" applyAlignment="1">
      <alignment wrapText="1"/>
    </xf>
    <xf numFmtId="2" fontId="1" fillId="2" borderId="8" xfId="0" applyNumberFormat="1" applyFont="1" applyFill="1" applyBorder="1" applyAlignment="1">
      <alignment wrapText="1"/>
    </xf>
    <xf numFmtId="1" fontId="1" fillId="2" borderId="7" xfId="0" applyNumberFormat="1" applyFont="1" applyFill="1" applyBorder="1" applyAlignment="1">
      <alignment wrapText="1"/>
    </xf>
    <xf numFmtId="0" fontId="1" fillId="0" borderId="12" xfId="0" applyFont="1" applyBorder="1" applyAlignment="1">
      <alignment wrapText="1"/>
    </xf>
    <xf numFmtId="1" fontId="2" fillId="2" borderId="8" xfId="0" applyNumberFormat="1" applyFont="1" applyFill="1" applyBorder="1" applyAlignment="1">
      <alignment wrapText="1"/>
    </xf>
    <xf numFmtId="0" fontId="1" fillId="0" borderId="5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wrapText="1"/>
    </xf>
    <xf numFmtId="1" fontId="1" fillId="2" borderId="14" xfId="0" applyNumberFormat="1" applyFont="1" applyFill="1" applyBorder="1" applyAlignment="1">
      <alignment wrapText="1"/>
    </xf>
    <xf numFmtId="9" fontId="1" fillId="0" borderId="9" xfId="0" applyNumberFormat="1" applyFont="1" applyBorder="1" applyAlignment="1">
      <alignment wrapText="1"/>
    </xf>
  </cellXfs>
  <cellStyles count="1">
    <cellStyle name="Normal" xfId="0" builtinId="0"/>
  </cellStyles>
  <dxfs count="8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3" formatCode="0%"/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2" formatCode="0.00"/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3" tint="0.749992370372631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3" formatCode="0%"/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2" formatCode="0.00"/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2" formatCode="0.00"/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2" formatCode="0.00"/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2" formatCode="0.00"/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5" tint="0.5999938962981048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3" formatCode="0%"/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2" formatCode="0.00"/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3" tint="0.749992370372631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3" formatCode="0%"/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2" formatCode="0.00"/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2" formatCode="0.00"/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2" formatCode="0.00"/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2" formatCode="0.00"/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5" tint="0.5999938962981048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3" formatCode="0%"/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2" formatCode="0.00"/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3" tint="0.749992370372631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3" formatCode="0%"/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2" formatCode="0.00"/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2" formatCode="0.00"/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2" formatCode="0.00"/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2" formatCode="0.00"/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5" tint="0.5999938962981048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3" formatCode="0%"/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2" formatCode="0.00"/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3" tint="0.749992370372631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3" formatCode="0%"/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2" formatCode="0.00"/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2" formatCode="0.00"/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2" formatCode="0.00"/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2" formatCode="0.00"/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5" tint="0.5999938962981048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3" formatCode="0%"/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2" formatCode="0.00"/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3" tint="0.749992370372631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2" formatCode="0.00"/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3" formatCode="0%"/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5" tint="0.5999938962981048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EED786EA-B644-4598-B16F-ABF52269B1BA}" name="Tableau142527" displayName="Tableau142527" ref="A2:F27" totalsRowShown="0" headerRowDxfId="84" dataDxfId="83">
  <autoFilter ref="A2:F27" xr:uid="{5A7964F1-74B2-469A-AC16-C9ED1B36A5AB}"/>
  <tableColumns count="6">
    <tableColumn id="1" xr3:uid="{215AA5DD-5F2E-4C65-85B1-F0690E595C3D}" name="Description de la tâche" dataDxfId="82"/>
    <tableColumn id="4" xr3:uid="{1BF24DF5-5693-4549-825D-A8A05760BDF7}" name="Durée estimée" dataDxfId="81"/>
    <tableColumn id="5" xr3:uid="{486DEFB4-0217-43AE-888B-A4DAE33977DE}" name="Durée estimée2" dataDxfId="80"/>
    <tableColumn id="6" xr3:uid="{8318DCA9-F250-4491-9DDA-EF18C4CE9898}" name="Durée estimée3" dataDxfId="79"/>
    <tableColumn id="9" xr3:uid="{C5AF4892-C9F1-4529-ACFB-042724FE3DCD}" name="Durée estimée4" dataDxfId="78"/>
    <tableColumn id="2" xr3:uid="{957ECA35-85E4-475A-BFC2-65DF05946135}" name="Durée totale estimée (heures)" dataDxfId="77">
      <calculatedColumnFormula>SUM(Tableau142527[[#This Row],[Durée estimée]:[Durée estimée4]])</calculatedColumnFormula>
    </tableColumn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CC37A317-ADB3-4023-9F76-0AF88C7689EB}" name="Tableau132628" displayName="Tableau132628" ref="A2:G27" totalsRowShown="0" headerRowDxfId="76" dataDxfId="75">
  <autoFilter ref="A2:G27" xr:uid="{D74CE9B5-B270-4B32-977A-641B495A203C}"/>
  <tableColumns count="7">
    <tableColumn id="1" xr3:uid="{A15164B4-6712-4831-939A-4FB504117CDD}" name="Description de la tâche" dataDxfId="74"/>
    <tableColumn id="4" xr3:uid="{7AB89799-99CD-41B7-A73E-C7F022BF3CF2}" name="Durée réelle en heures" dataDxfId="73"/>
    <tableColumn id="5" xr3:uid="{A327AEB3-56C4-462E-A44A-4B027011F407}" name="Durée réelle en heures2" dataDxfId="72"/>
    <tableColumn id="6" xr3:uid="{EB655605-6A6C-43D9-890D-0DA824F64234}" name="Durée réelle en heures3" dataDxfId="71"/>
    <tableColumn id="7" xr3:uid="{9E8DD97F-EB23-4058-AC6F-8FAAF6B0BD86}" name="Durée réelle en heures4" dataDxfId="70"/>
    <tableColumn id="3" xr3:uid="{8CFC3861-9274-4466-9666-DBB15A1C0939}" name="Total réel" dataDxfId="69">
      <calculatedColumnFormula>SUM(Tableau132628[[#This Row],[Durée réelle en heures]:[Durée réelle en heures4]])</calculatedColumnFormula>
    </tableColumn>
    <tableColumn id="8" xr3:uid="{15C5AB06-C075-4E89-8867-729CBFE3985E}" name="Ecart relatif  entre prévisionnel et réel" dataDxfId="68">
      <calculatedColumnFormula>IF('Séance 5'!F3=0,0,IF('Séance 4'!F3=0,"Nouvelle tâche",(('Séance 5'!F3)/'Séance 4'!F3)))</calculatedColumnFormula>
    </tableColumn>
  </tableColumns>
  <tableStyleInfo name="TableStyleMedium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E73CB4C9-7F23-46DE-A9BA-254E4B858EAD}" name="Tableau14252729" displayName="Tableau14252729" ref="I2:N27" totalsRowShown="0" headerRowDxfId="67" dataDxfId="66">
  <autoFilter ref="I2:N27" xr:uid="{5A7964F1-74B2-469A-AC16-C9ED1B36A5AB}"/>
  <tableColumns count="6">
    <tableColumn id="1" xr3:uid="{12897D9E-1CB9-4309-9EFF-C132EF21BD61}" name="Description de la tâche" dataDxfId="65"/>
    <tableColumn id="2" xr3:uid="{6566967A-D15A-4426-BE0E-94AA84184111}" name="Durée estimée" dataDxfId="64"/>
    <tableColumn id="4" xr3:uid="{708576B8-29FF-468D-9422-02F8BE63FEC9}" name="Durée estimée2" dataDxfId="63"/>
    <tableColumn id="5" xr3:uid="{FAF84A98-C841-4712-851B-B9281C9A01B7}" name="Durée estimée3" dataDxfId="62"/>
    <tableColumn id="6" xr3:uid="{37BAB050-B4F3-496F-92DB-9A743A466ACA}" name="Durée estimée4" dataDxfId="61"/>
    <tableColumn id="9" xr3:uid="{04532DC7-DC7E-445B-82F6-37A353A430DC}" name="Durée totale estimée (heures)" dataDxfId="60"/>
  </tableColumns>
  <tableStyleInfo name="TableStyleMedium1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812637B-B61D-4348-89BC-A15D9B981F38}" name="Tableau13262811" displayName="Tableau13262811" ref="A2:G27" totalsRowShown="0" headerRowDxfId="59" dataDxfId="58">
  <autoFilter ref="A2:G27" xr:uid="{6812637B-B61D-4348-89BC-A15D9B981F38}"/>
  <tableColumns count="7">
    <tableColumn id="1" xr3:uid="{4E36833C-B1C6-41CC-B69F-4353BFF860E3}" name="Description de la tâche" dataDxfId="57"/>
    <tableColumn id="4" xr3:uid="{889B66B0-7E93-4558-95EC-D2481A87AF5D}" name="Durée réelle en heures" dataDxfId="56"/>
    <tableColumn id="5" xr3:uid="{CC333D92-1C67-48D0-A8D9-878B46EA29EB}" name="Durée réelle en heures2" dataDxfId="55"/>
    <tableColumn id="6" xr3:uid="{CDCB36CD-204D-4052-9090-9C78511E8C3B}" name="Durée réelle en heures3" dataDxfId="54"/>
    <tableColumn id="7" xr3:uid="{0BAD8013-9C4D-437E-8EFB-C91CE08B947A}" name="Durée réelle en heures4" dataDxfId="53"/>
    <tableColumn id="3" xr3:uid="{CAF28DA3-7186-43A3-9537-AF31D442B631}" name="Total réel" dataDxfId="52">
      <calculatedColumnFormula>SUM(Tableau13262811[[#This Row],[Durée réelle en heures]:[Durée réelle en heures4]])</calculatedColumnFormula>
    </tableColumn>
    <tableColumn id="8" xr3:uid="{14991941-C004-4640-8711-E5AAA5BE4D46}" name="Ecart relatif  entre prévisionnel et réel" dataDxfId="51">
      <calculatedColumnFormula>IF('Séance 5'!F3=0,0,IF('Séance 4'!F3=0,"Nouvelle tâche",(('Séance 5'!F3)/'Séance 4'!F3)))</calculatedColumnFormula>
    </tableColumn>
  </tableColumns>
  <tableStyleInfo name="TableStyleMedium1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F7A983CC-8D83-427A-9219-BADF4961E6AC}" name="Tableau1425272912" displayName="Tableau1425272912" ref="I2:N27" totalsRowShown="0" headerRowDxfId="50" dataDxfId="49">
  <autoFilter ref="I2:N27" xr:uid="{F7A983CC-8D83-427A-9219-BADF4961E6AC}"/>
  <tableColumns count="6">
    <tableColumn id="1" xr3:uid="{7EBE4D97-AB5C-4F60-BB56-1C24522C595E}" name="Description de la tâche" dataDxfId="48"/>
    <tableColumn id="2" xr3:uid="{87127D5E-2EB3-46B0-9467-610DA9DC370E}" name="Durée estimée" dataDxfId="47"/>
    <tableColumn id="4" xr3:uid="{8C5C2DBC-7834-4A7C-900E-AF1EBD0F16A3}" name="Durée estimée2" dataDxfId="46"/>
    <tableColumn id="5" xr3:uid="{44F7E857-1914-4861-BA6E-5F39796FE2F1}" name="Durée estimée3" dataDxfId="45"/>
    <tableColumn id="6" xr3:uid="{CD57C4A2-377A-4476-8C0B-A7DF4F6946E1}" name="Durée estimée4" dataDxfId="44"/>
    <tableColumn id="9" xr3:uid="{BEF0CA86-3FFF-4647-99B9-E54994E2EBE2}" name="Durée totale estimée (heures)" dataDxfId="43"/>
  </tableColumns>
  <tableStyleInfo name="TableStyleMedium16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66AA300B-3C8A-467C-986F-430F6C2AE013}" name="Tableau13262813" displayName="Tableau13262813" ref="A2:G27" totalsRowShown="0" headerRowDxfId="42" dataDxfId="41">
  <autoFilter ref="A2:G27" xr:uid="{66AA300B-3C8A-467C-986F-430F6C2AE013}"/>
  <tableColumns count="7">
    <tableColumn id="1" xr3:uid="{FE16A0DB-5738-4B9D-9C75-70AB78783623}" name="Description de la tâche" dataDxfId="40"/>
    <tableColumn id="4" xr3:uid="{B6B39D49-8D73-46F1-8E44-E773656DBDEA}" name="Durée réelle en heures" dataDxfId="39"/>
    <tableColumn id="5" xr3:uid="{177E38C8-0654-44F0-8609-F07812B8DB24}" name="Durée réelle en heures2" dataDxfId="38"/>
    <tableColumn id="6" xr3:uid="{38EB6C7B-B83F-486A-BD8E-CB1F6CFC533F}" name="Durée réelle en heures3" dataDxfId="37"/>
    <tableColumn id="7" xr3:uid="{754AE363-C29D-4D99-817D-A7E4CBB69395}" name="Durée réelle en heures4" dataDxfId="36"/>
    <tableColumn id="3" xr3:uid="{1F3281BD-76E4-4762-A03A-251160C1E1FC}" name="Total réel" dataDxfId="35">
      <calculatedColumnFormula>SUM(Tableau13262813[[#This Row],[Durée réelle en heures]:[Durée réelle en heures4]])</calculatedColumnFormula>
    </tableColumn>
    <tableColumn id="8" xr3:uid="{614CE350-CAD8-4970-A4A0-2AB6DD8B864E}" name="Ecart relatif  entre prévisionnel et réel" dataDxfId="34">
      <calculatedColumnFormula>IF('Séance 5'!F3=0,0,IF('Séance 4'!F3=0,"Nouvelle tâche",(('Séance 5'!F3)/'Séance 4'!F3)))</calculatedColumnFormula>
    </tableColumn>
  </tableColumns>
  <tableStyleInfo name="TableStyleMedium16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3C453C7C-3466-41EA-B2AB-1B362992B327}" name="Tableau1425272914" displayName="Tableau1425272914" ref="I2:N27" totalsRowShown="0" headerRowDxfId="33" dataDxfId="32">
  <autoFilter ref="I2:N27" xr:uid="{3C453C7C-3466-41EA-B2AB-1B362992B327}"/>
  <tableColumns count="6">
    <tableColumn id="1" xr3:uid="{90098B67-92A4-4C33-AB58-E4C4E52C52EB}" name="Description de la tâche" dataDxfId="31"/>
    <tableColumn id="2" xr3:uid="{54A83D80-B4F5-496B-9A07-3FF5CFFB111A}" name="Durée estimée" dataDxfId="30"/>
    <tableColumn id="4" xr3:uid="{673BE61D-0377-4A17-824C-9C3FD34B20A0}" name="Durée estimée2" dataDxfId="29"/>
    <tableColumn id="5" xr3:uid="{03A6ABF6-78C1-44F2-97D0-0B814A1C6276}" name="Durée estimée3" dataDxfId="28"/>
    <tableColumn id="6" xr3:uid="{D98F6E90-07AF-4E61-9BF7-FFC122B95F0E}" name="Durée estimée4" dataDxfId="27"/>
    <tableColumn id="9" xr3:uid="{8A93309D-A226-4F0F-8D04-D5383526E140}" name="Durée totale estimée (heures)" dataDxfId="26"/>
  </tableColumns>
  <tableStyleInfo name="TableStyleMedium16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700CB6B2-27C0-439F-9C32-6666C943DD5A}" name="Tableau13262815" displayName="Tableau13262815" ref="A2:G27" totalsRowShown="0" headerRowDxfId="25" dataDxfId="24">
  <autoFilter ref="A2:G27" xr:uid="{700CB6B2-27C0-439F-9C32-6666C943DD5A}"/>
  <tableColumns count="7">
    <tableColumn id="1" xr3:uid="{29305633-F8CF-48AD-8282-938691784ADF}" name="Description de la tâche" dataDxfId="23"/>
    <tableColumn id="4" xr3:uid="{E91461CF-CFFD-4DE5-85DA-4A00ADD18D56}" name="Durée réelle en heures" dataDxfId="22"/>
    <tableColumn id="5" xr3:uid="{F4FA6EAB-9D06-40BD-8748-05D6184E9E5F}" name="Durée réelle en heures2" dataDxfId="21"/>
    <tableColumn id="6" xr3:uid="{E79A5BD7-3A38-482D-A074-C829CD9CD706}" name="Durée réelle en heures3" dataDxfId="20"/>
    <tableColumn id="7" xr3:uid="{6B3EFCD6-695A-4DB5-BF71-C1DC34641E54}" name="Durée réelle en heures4" dataDxfId="19"/>
    <tableColumn id="3" xr3:uid="{0E89621C-DEFE-414D-898C-5742F15844AE}" name="Total réel" dataDxfId="18">
      <calculatedColumnFormula>SUM(Tableau13262815[[#This Row],[Durée réelle en heures]:[Durée réelle en heures4]])</calculatedColumnFormula>
    </tableColumn>
    <tableColumn id="8" xr3:uid="{C16B3F1C-812A-4616-AF50-075995933083}" name="Ecart relatif  entre prévisionnel et réel" dataDxfId="17">
      <calculatedColumnFormula>IF('Séance 5'!F3=0,0,IF('Séance 4'!F3=0,"Nouvelle tâche",(('Séance 5'!F3)/'Séance 4'!F3)))</calculatedColumnFormula>
    </tableColumn>
  </tableColumns>
  <tableStyleInfo name="TableStyleMedium16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E8380ADF-6B1F-426C-9EAE-630C591F9D26}" name="Tableau1425272916" displayName="Tableau1425272916" ref="I2:N27" totalsRowShown="0" headerRowDxfId="16" dataDxfId="15">
  <autoFilter ref="I2:N27" xr:uid="{E8380ADF-6B1F-426C-9EAE-630C591F9D26}"/>
  <tableColumns count="6">
    <tableColumn id="1" xr3:uid="{C6C4113B-C059-4FB7-B87B-FF40F9D260F0}" name="Description de la tâche" dataDxfId="14"/>
    <tableColumn id="2" xr3:uid="{E7348649-8B24-4BD2-9E4D-2C204309F049}" name="Durée estimée" dataDxfId="13"/>
    <tableColumn id="4" xr3:uid="{70C010A0-9639-43BC-ACDC-DB7E5A8FD16C}" name="Durée estimée2" dataDxfId="12"/>
    <tableColumn id="5" xr3:uid="{16D66B96-39A2-4B88-ABA9-36C1B57820D4}" name="Durée estimée3" dataDxfId="11"/>
    <tableColumn id="6" xr3:uid="{3C21E499-1FFA-4A40-B082-0E15E2DFD23C}" name="Durée estimée4" dataDxfId="10"/>
    <tableColumn id="9" xr3:uid="{44968BAC-EFC6-4711-9AEC-F55433183223}" name="Durée totale estimée (heures)" dataDxfId="9"/>
  </tableColumns>
  <tableStyleInfo name="TableStyleMedium16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A5883DCB-6FFE-430A-8AF3-E80BEB59C1A9}" name="Tableau13262817" displayName="Tableau13262817" ref="A2:G27" totalsRowShown="0" headerRowDxfId="8" dataDxfId="7">
  <autoFilter ref="A2:G27" xr:uid="{A5883DCB-6FFE-430A-8AF3-E80BEB59C1A9}"/>
  <tableColumns count="7">
    <tableColumn id="1" xr3:uid="{9D65F1D3-6C7A-4DC7-AD7F-9E188525EA5E}" name="Description de la tâche" dataDxfId="6"/>
    <tableColumn id="4" xr3:uid="{CF6A9E5E-9BA7-40BD-9E5F-08A5FE7A44D8}" name="Durée réelle en heures" dataDxfId="5"/>
    <tableColumn id="5" xr3:uid="{E171CF2E-3F30-495B-B5AB-16BCE499217F}" name="Durée réelle en heures2" dataDxfId="4"/>
    <tableColumn id="6" xr3:uid="{8BAB4CC4-780C-484D-BD52-5D09D8C6F0FD}" name="Durée réelle en heures3" dataDxfId="3"/>
    <tableColumn id="7" xr3:uid="{65A5DE1B-3943-4DD3-B149-964B6744C513}" name="Durée réelle en heures4" dataDxfId="2"/>
    <tableColumn id="3" xr3:uid="{795C5344-D575-4649-B9EE-FF2DC833B47A}" name="Total réel" dataDxfId="1">
      <calculatedColumnFormula>SUM(Tableau13262817[[#This Row],[Durée réelle en heures]:[Durée réelle en heures4]])</calculatedColumnFormula>
    </tableColumn>
    <tableColumn id="8" xr3:uid="{E3EEC30B-BA38-4FFB-A911-63162CD6FCE7}" name="Ecart relatif  entre prévisionnel et réel" dataDxfId="0">
      <calculatedColumnFormula>IF('Séance 5'!F3=0,0,IF('Séance 4'!F3=0,"Nouvelle tâche",(('Séance 5'!F3)/'Séance 4'!F3)))</calculatedColumnFormula>
    </tableColumn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E626C-BA31-4038-B047-F63ECDB5E449}">
  <dimension ref="A1:G25"/>
  <sheetViews>
    <sheetView tabSelected="1" workbookViewId="0">
      <selection activeCell="E17" sqref="E17"/>
    </sheetView>
  </sheetViews>
  <sheetFormatPr baseColWidth="10" defaultRowHeight="15" x14ac:dyDescent="0.25"/>
  <cols>
    <col min="1" max="1" width="25.28515625" customWidth="1"/>
    <col min="2" max="2" width="33.140625" customWidth="1"/>
    <col min="3" max="3" width="40" customWidth="1"/>
    <col min="4" max="4" width="37.42578125" customWidth="1"/>
    <col min="5" max="5" width="42.28515625" customWidth="1"/>
    <col min="6" max="6" width="37.42578125" customWidth="1"/>
  </cols>
  <sheetData>
    <row r="1" spans="1:7" ht="57" customHeight="1" x14ac:dyDescent="0.25">
      <c r="A1" s="26" t="s">
        <v>0</v>
      </c>
      <c r="B1" s="25" t="s">
        <v>22</v>
      </c>
      <c r="C1" s="1"/>
      <c r="D1" s="26" t="s">
        <v>3</v>
      </c>
      <c r="E1" s="27" t="s">
        <v>4</v>
      </c>
    </row>
    <row r="2" spans="1:7" ht="27" customHeight="1" thickBot="1" x14ac:dyDescent="0.3">
      <c r="A2" s="24" t="s">
        <v>1</v>
      </c>
      <c r="B2" s="2" t="s">
        <v>20</v>
      </c>
      <c r="C2" s="1"/>
      <c r="D2" s="51" t="s">
        <v>5</v>
      </c>
      <c r="E2" s="52" t="s">
        <v>6</v>
      </c>
    </row>
    <row r="3" spans="1:7" ht="20.100000000000001" customHeight="1" x14ac:dyDescent="0.25">
      <c r="A3" s="1"/>
      <c r="B3" s="1"/>
      <c r="C3" s="1"/>
      <c r="D3" s="51" t="s">
        <v>7</v>
      </c>
      <c r="E3" s="52" t="s">
        <v>8</v>
      </c>
    </row>
    <row r="4" spans="1:7" ht="20.100000000000001" customHeight="1" x14ac:dyDescent="0.25">
      <c r="A4" s="1"/>
      <c r="B4" s="1"/>
      <c r="C4" s="1"/>
      <c r="D4" s="51" t="s">
        <v>9</v>
      </c>
      <c r="E4" s="52" t="s">
        <v>10</v>
      </c>
    </row>
    <row r="5" spans="1:7" ht="20.100000000000001" customHeight="1" thickBot="1" x14ac:dyDescent="0.3">
      <c r="A5" s="1"/>
      <c r="B5" s="1"/>
      <c r="C5" s="1"/>
      <c r="D5" s="53" t="s">
        <v>11</v>
      </c>
      <c r="E5" s="54" t="s">
        <v>12</v>
      </c>
    </row>
    <row r="6" spans="1:7" ht="20.100000000000001" customHeight="1" thickBot="1" x14ac:dyDescent="0.3">
      <c r="A6" s="1"/>
      <c r="B6" s="1"/>
      <c r="C6" s="1"/>
      <c r="D6" s="1"/>
      <c r="E6" s="1"/>
    </row>
    <row r="7" spans="1:7" ht="24.95" customHeight="1" x14ac:dyDescent="0.25">
      <c r="A7" s="58" t="s">
        <v>21</v>
      </c>
      <c r="B7" s="59"/>
      <c r="C7" s="59"/>
      <c r="D7" s="59"/>
      <c r="E7" s="59"/>
      <c r="F7" s="59"/>
      <c r="G7" s="60"/>
    </row>
    <row r="8" spans="1:7" ht="24.95" customHeight="1" x14ac:dyDescent="0.25">
      <c r="A8" s="55"/>
      <c r="B8" s="61"/>
      <c r="C8" s="28" t="str">
        <f>D2</f>
        <v>Nom1</v>
      </c>
      <c r="D8" s="28" t="str">
        <f>D3</f>
        <v>Nom2</v>
      </c>
      <c r="E8" s="28" t="str">
        <f>D4</f>
        <v>Nom3</v>
      </c>
      <c r="F8" s="28" t="str">
        <f>D5</f>
        <v>Nom4</v>
      </c>
      <c r="G8" s="29" t="s">
        <v>15</v>
      </c>
    </row>
    <row r="9" spans="1:7" ht="24.95" customHeight="1" x14ac:dyDescent="0.25">
      <c r="A9" s="55" t="s">
        <v>23</v>
      </c>
      <c r="B9" s="5" t="s">
        <v>28</v>
      </c>
      <c r="C9" s="30">
        <f>'Séance 5'!B26</f>
        <v>0</v>
      </c>
      <c r="D9" s="30">
        <f>'Séance 5'!C26</f>
        <v>0</v>
      </c>
      <c r="E9" s="30">
        <f>'Séance 5'!D26</f>
        <v>0</v>
      </c>
      <c r="F9" s="30">
        <f>'Séance 5'!E26</f>
        <v>0</v>
      </c>
      <c r="G9" s="31">
        <f>'Séance 5'!G26</f>
        <v>0</v>
      </c>
    </row>
    <row r="10" spans="1:7" ht="24.95" customHeight="1" x14ac:dyDescent="0.25">
      <c r="A10" s="55"/>
      <c r="B10" s="5" t="s">
        <v>29</v>
      </c>
      <c r="C10" s="30" t="str">
        <f>'Séance 5'!B27</f>
        <v>Non renseigné</v>
      </c>
      <c r="D10" s="30" t="str">
        <f>'Séance 5'!C27</f>
        <v>Non renseigné</v>
      </c>
      <c r="E10" s="30" t="str">
        <f>'Séance 5'!D27</f>
        <v>Non renseigné</v>
      </c>
      <c r="F10" s="30" t="str">
        <f>'Séance 5'!E27</f>
        <v>Non renseigné</v>
      </c>
      <c r="G10" s="31"/>
    </row>
    <row r="11" spans="1:7" ht="24.95" customHeight="1" x14ac:dyDescent="0.25">
      <c r="A11" s="55" t="s">
        <v>24</v>
      </c>
      <c r="B11" s="5" t="s">
        <v>28</v>
      </c>
      <c r="C11" s="30">
        <f>'Séance 6'!B26</f>
        <v>0</v>
      </c>
      <c r="D11" s="30">
        <f>'Séance 6'!V26</f>
        <v>0</v>
      </c>
      <c r="E11" s="30">
        <f>'Séance 6'!E26</f>
        <v>0</v>
      </c>
      <c r="F11" s="30">
        <f>'Séance 6'!E26</f>
        <v>0</v>
      </c>
      <c r="G11" s="31">
        <f>'Séance 6'!G25</f>
        <v>0</v>
      </c>
    </row>
    <row r="12" spans="1:7" ht="24.95" customHeight="1" x14ac:dyDescent="0.25">
      <c r="A12" s="55"/>
      <c r="B12" s="5" t="s">
        <v>29</v>
      </c>
      <c r="C12" s="30" t="str">
        <f>'Séance 6'!B27</f>
        <v>Non renseigné</v>
      </c>
      <c r="D12" s="30" t="str">
        <f>'Séance 6'!C27</f>
        <v>Non renseigné</v>
      </c>
      <c r="E12" s="30" t="str">
        <f>'Séance 6'!D27</f>
        <v>Non renseigné</v>
      </c>
      <c r="F12" s="30" t="str">
        <f>'Séance 6'!E27</f>
        <v>Non renseigné</v>
      </c>
      <c r="G12" s="31"/>
    </row>
    <row r="13" spans="1:7" ht="24.95" customHeight="1" x14ac:dyDescent="0.25">
      <c r="A13" s="55" t="s">
        <v>25</v>
      </c>
      <c r="B13" s="5" t="s">
        <v>28</v>
      </c>
      <c r="C13" s="30">
        <f>'Séance 7'!B26</f>
        <v>0</v>
      </c>
      <c r="D13" s="30">
        <f>'Séance 7'!C26</f>
        <v>0</v>
      </c>
      <c r="E13" s="30">
        <f>'Séance 7'!D26</f>
        <v>0</v>
      </c>
      <c r="F13" s="30">
        <f>'Séance 7'!E26</f>
        <v>0</v>
      </c>
      <c r="G13" s="31">
        <f>'Séance 7'!G25</f>
        <v>0</v>
      </c>
    </row>
    <row r="14" spans="1:7" ht="24.95" customHeight="1" x14ac:dyDescent="0.25">
      <c r="A14" s="55"/>
      <c r="B14" s="5" t="s">
        <v>29</v>
      </c>
      <c r="C14" s="30" t="str">
        <f>'Séance 7'!B27</f>
        <v>Non renseigné</v>
      </c>
      <c r="D14" s="30" t="str">
        <f>'Séance 7'!C27</f>
        <v>Non renseigné</v>
      </c>
      <c r="E14" s="30" t="str">
        <f>'Séance 7'!D27</f>
        <v>Non renseigné</v>
      </c>
      <c r="F14" s="30" t="str">
        <f>'Séance 7'!E27</f>
        <v>Non renseigné</v>
      </c>
      <c r="G14" s="31"/>
    </row>
    <row r="15" spans="1:7" ht="24.95" customHeight="1" x14ac:dyDescent="0.25">
      <c r="A15" s="55" t="s">
        <v>26</v>
      </c>
      <c r="B15" s="5" t="s">
        <v>28</v>
      </c>
      <c r="C15" s="30">
        <f>'Séance 8'!B26</f>
        <v>0</v>
      </c>
      <c r="D15" s="30">
        <f>'Séance 8'!C26</f>
        <v>0</v>
      </c>
      <c r="E15" s="30">
        <f>'Séance 8'!D26</f>
        <v>0</v>
      </c>
      <c r="F15" s="30">
        <f>'Séance 8'!E26</f>
        <v>0</v>
      </c>
      <c r="G15" s="31">
        <f>'Séance 8'!G25</f>
        <v>0</v>
      </c>
    </row>
    <row r="16" spans="1:7" ht="24.95" customHeight="1" x14ac:dyDescent="0.25">
      <c r="A16" s="55"/>
      <c r="B16" s="5" t="s">
        <v>29</v>
      </c>
      <c r="C16" s="30" t="str">
        <f>'Séance 8'!B27</f>
        <v>Non renseigné</v>
      </c>
      <c r="D16" s="30" t="str">
        <f>'Séance 8'!C27</f>
        <v>Non renseigné</v>
      </c>
      <c r="E16" s="30" t="str">
        <f>'Séance 8'!D27</f>
        <v>Non renseigné</v>
      </c>
      <c r="F16" s="30" t="str">
        <f>'Séance 8'!E27</f>
        <v>Non renseigné</v>
      </c>
      <c r="G16" s="31"/>
    </row>
    <row r="17" spans="1:7" ht="24.95" customHeight="1" x14ac:dyDescent="0.25">
      <c r="A17" s="55" t="s">
        <v>27</v>
      </c>
      <c r="B17" s="5" t="s">
        <v>28</v>
      </c>
      <c r="C17" s="30">
        <f>'Séance 9'!B26</f>
        <v>0</v>
      </c>
      <c r="D17" s="30">
        <f>'Séance 9'!C26</f>
        <v>0</v>
      </c>
      <c r="E17" s="30">
        <f>'Séance 9'!D26</f>
        <v>0</v>
      </c>
      <c r="F17" s="30">
        <f>'Séance 9'!E26</f>
        <v>0</v>
      </c>
      <c r="G17" s="31">
        <f>'Séance 9'!G25</f>
        <v>0</v>
      </c>
    </row>
    <row r="18" spans="1:7" ht="24.95" customHeight="1" x14ac:dyDescent="0.25">
      <c r="A18" s="55"/>
      <c r="B18" s="5" t="s">
        <v>29</v>
      </c>
      <c r="C18" s="30" t="str">
        <f>'Séance 9'!B27</f>
        <v>Non renseigné</v>
      </c>
      <c r="D18" s="30" t="str">
        <f>'Séance 9'!C27</f>
        <v>Non renseigné</v>
      </c>
      <c r="E18" s="30" t="str">
        <f>'Séance 9'!D27</f>
        <v>Non renseigné</v>
      </c>
      <c r="F18" s="30" t="str">
        <f>'Séance 9'!E27</f>
        <v>Non renseigné</v>
      </c>
      <c r="G18" s="31"/>
    </row>
    <row r="19" spans="1:7" ht="24.95" customHeight="1" x14ac:dyDescent="0.25">
      <c r="A19" s="37" t="s">
        <v>31</v>
      </c>
      <c r="B19" s="34"/>
      <c r="C19" s="41">
        <f>IF(COUNT('Séance 5'!B27,'Séance 6'!C26,'Séance 7'!C26,'Séance 8'!C26,'Séance 9'!C26)=0,"Non renseigné",(IF('Séance 5'!B27="Non renseigné",0,'Séance 5'!B27)
+IF('Séance 6'!C26="Non renseigné",0,'Séance 6'!C26)
+IF('Séance 7'!C26="Non renseigné",0,'Séance 7'!C26)
+IF('Séance 8'!C26="Non renseigné",0,'Séance 8'!C26)
+IF('Séance 9'!C26="Non renseigné",0,'Séance 9'!C26)
)
/(
COUNT('Séance 5'!B27,'Séance 6'!C26,'Séance 7'!C26,'Séance 8'!C26,'Séance 9'!C26)))</f>
        <v>0</v>
      </c>
      <c r="D19" s="41">
        <f>IF(COUNT('Séance 5'!B27,'Séance 6'!C26,'Séance 7'!C26,'Séance 8'!C26,'Séance 9'!C26)=0,"Non renseigné",(IF('Séance 5'!C27="Non renseigné",0,'Séance 5'!C27)
+IF('Séance 6'!D26="Non renseigné",0,'Séance 6'!D26)
+IF('Séance 7'!D26="Non renseigné",0,'Séance 7'!D26)
+IF('Séance 8'!D26="Non renseigné",0,'Séance 8'!D26)
+IF('Séance 9'!D26="Non renseigné",0,'Séance 9'!D26)
)
/(
COUNT('Séance 5'!C27,'Séance 6'!D26,'Séance 7'!D26,'Séance 8'!D26,'Séance 9'!D26)))</f>
        <v>0</v>
      </c>
      <c r="E19" s="41">
        <f>IF(COUNT('Séance 5'!B27,'Séance 6'!C26,'Séance 7'!C26,'Séance 8'!C26,'Séance 9'!C26)=0,"Non renseigné",(IF('Séance 5'!D27="Non renseigné",0,'Séance 5'!D27)
+IF('Séance 6'!E26="Non renseigné",0,'Séance 6'!E26)
+IF('Séance 7'!E26="Non renseigné",0,'Séance 7'!E26)
+IF('Séance 8'!E26="Non renseigné",0,'Séance 8'!E26)
+IF('Séance 9'!E26="Non renseigné",0,'Séance 9'!E26)
)
/(
COUNT('Séance 5'!D27,'Séance 6'!E26,'Séance 7'!E26,'Séance 8'!E26,'Séance 9'!E26)))</f>
        <v>0</v>
      </c>
      <c r="F19" s="41">
        <f>IF(COUNT('Séance 5'!B27,'Séance 6'!C26,'Séance 7'!C26,'Séance 8'!C26,'Séance 9'!C26)=0,"Non renseigné",(IF('Séance 5'!E27="Non renseigné",0,'Séance 5'!E27)
+IF('Séance 6'!F26="Non renseigné",0,'Séance 6'!F26)
+IF('Séance 7'!F26="Non renseigné",0,'Séance 7'!F26)
+IF('Séance 8'!F26="Non renseigné",0,'Séance 8'!F26)
+IF('Séance 9'!F26="Non renseigné",0,'Séance 9'!F26)
)
/(
COUNT('Séance 5'!E27,'Séance 6'!F26,'Séance 7'!F26,'Séance 8'!F26,'Séance 9'!F26)))</f>
        <v>0</v>
      </c>
      <c r="G19" s="32"/>
    </row>
    <row r="20" spans="1:7" ht="24.95" customHeight="1" x14ac:dyDescent="0.25">
      <c r="A20" s="56" t="s">
        <v>30</v>
      </c>
      <c r="B20" s="35" t="s">
        <v>28</v>
      </c>
      <c r="C20" s="36">
        <f>C9+C11+C13+C15+C17</f>
        <v>0</v>
      </c>
      <c r="D20" s="36">
        <f>D9+D11+D13+D15+D17</f>
        <v>0</v>
      </c>
      <c r="E20" s="36">
        <f>E9+E11+E13+E15+E17</f>
        <v>0</v>
      </c>
      <c r="F20" s="36">
        <f>F9+F11+F13+F15+F17</f>
        <v>0</v>
      </c>
      <c r="G20" s="38">
        <f>G9+G11+G13+G15+G17</f>
        <v>0</v>
      </c>
    </row>
    <row r="21" spans="1:7" ht="24.95" customHeight="1" thickBot="1" x14ac:dyDescent="0.3">
      <c r="A21" s="57"/>
      <c r="B21" s="39" t="s">
        <v>29</v>
      </c>
      <c r="C21" s="42" t="str">
        <f>IF(G20=0,"Non renseigné",C20/G20*100)</f>
        <v>Non renseigné</v>
      </c>
      <c r="D21" s="42" t="str">
        <f>IF(H22=0,"Non renseigné",D20/H22*100)</f>
        <v>Non renseigné</v>
      </c>
      <c r="E21" s="42" t="str">
        <f>IF(I22=0,"Non renseigné",E20/I22*100)</f>
        <v>Non renseigné</v>
      </c>
      <c r="F21" s="42" t="str">
        <f>IF(J22=0,"Non renseigné",F20/J22*100)</f>
        <v>Non renseigné</v>
      </c>
      <c r="G21" s="40"/>
    </row>
    <row r="22" spans="1:7" ht="24.95" customHeight="1" x14ac:dyDescent="0.25"/>
    <row r="23" spans="1:7" ht="24.95" customHeight="1" x14ac:dyDescent="0.25"/>
    <row r="25" spans="1:7" x14ac:dyDescent="0.25">
      <c r="B25" s="33"/>
    </row>
  </sheetData>
  <mergeCells count="8">
    <mergeCell ref="A17:A18"/>
    <mergeCell ref="A20:A21"/>
    <mergeCell ref="A9:A10"/>
    <mergeCell ref="A7:G7"/>
    <mergeCell ref="A8:B8"/>
    <mergeCell ref="A11:A12"/>
    <mergeCell ref="A13:A14"/>
    <mergeCell ref="A15:A1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DD850-7A3C-467E-99E8-D72A4D9FE41E}">
  <dimension ref="A1:G37"/>
  <sheetViews>
    <sheetView zoomScale="115" zoomScaleNormal="115" workbookViewId="0">
      <selection activeCell="F3" sqref="F3:F25"/>
    </sheetView>
  </sheetViews>
  <sheetFormatPr baseColWidth="10" defaultRowHeight="15" x14ac:dyDescent="0.25"/>
  <cols>
    <col min="1" max="1" width="22.7109375" customWidth="1"/>
    <col min="2" max="3" width="12.140625" bestFit="1" customWidth="1"/>
    <col min="7" max="7" width="12.7109375" customWidth="1"/>
    <col min="9" max="9" width="24.42578125" customWidth="1"/>
    <col min="11" max="11" width="13.140625" customWidth="1"/>
  </cols>
  <sheetData>
    <row r="1" spans="1:6" x14ac:dyDescent="0.25">
      <c r="A1" s="16" t="s">
        <v>17</v>
      </c>
      <c r="B1" s="17" t="str">
        <f>Synthèse!$D2</f>
        <v>Nom1</v>
      </c>
      <c r="C1" s="17" t="str">
        <f>Synthèse!$D3</f>
        <v>Nom2</v>
      </c>
      <c r="D1" s="17" t="str">
        <f>Synthèse!$D4</f>
        <v>Nom3</v>
      </c>
      <c r="E1" s="17" t="str">
        <f>Synthèse!$D5</f>
        <v>Nom4</v>
      </c>
      <c r="F1" s="17"/>
    </row>
    <row r="2" spans="1:6" ht="51.75" x14ac:dyDescent="0.25">
      <c r="A2" s="18" t="s">
        <v>38</v>
      </c>
      <c r="B2" s="15" t="s">
        <v>32</v>
      </c>
      <c r="C2" s="15" t="s">
        <v>33</v>
      </c>
      <c r="D2" s="15" t="s">
        <v>34</v>
      </c>
      <c r="E2" s="15" t="s">
        <v>35</v>
      </c>
      <c r="F2" s="15" t="s">
        <v>2</v>
      </c>
    </row>
    <row r="3" spans="1:6" x14ac:dyDescent="0.25">
      <c r="A3" s="3"/>
      <c r="B3" s="43"/>
      <c r="C3" s="43"/>
      <c r="D3" s="43"/>
      <c r="E3" s="43"/>
      <c r="F3" s="4">
        <f>SUM(Tableau142527[[#This Row],[Durée estimée]:[Durée estimée4]])</f>
        <v>0</v>
      </c>
    </row>
    <row r="4" spans="1:6" x14ac:dyDescent="0.25">
      <c r="A4" s="3"/>
      <c r="B4" s="43"/>
      <c r="C4" s="43"/>
      <c r="D4" s="43"/>
      <c r="E4" s="43"/>
      <c r="F4" s="4">
        <f>SUM(Tableau142527[[#This Row],[Durée estimée]:[Durée estimée4]])</f>
        <v>0</v>
      </c>
    </row>
    <row r="5" spans="1:6" x14ac:dyDescent="0.25">
      <c r="A5" s="3"/>
      <c r="B5" s="43"/>
      <c r="C5" s="43"/>
      <c r="D5" s="43"/>
      <c r="E5" s="43"/>
      <c r="F5" s="4">
        <f>SUM(Tableau142527[[#This Row],[Durée estimée]:[Durée estimée4]])</f>
        <v>0</v>
      </c>
    </row>
    <row r="6" spans="1:6" x14ac:dyDescent="0.25">
      <c r="A6" s="3"/>
      <c r="B6" s="43"/>
      <c r="C6" s="43"/>
      <c r="D6" s="43"/>
      <c r="E6" s="43"/>
      <c r="F6" s="4">
        <f>SUM(Tableau142527[[#This Row],[Durée estimée]:[Durée estimée4]])</f>
        <v>0</v>
      </c>
    </row>
    <row r="7" spans="1:6" x14ac:dyDescent="0.25">
      <c r="A7" s="3"/>
      <c r="B7" s="43"/>
      <c r="C7" s="43"/>
      <c r="D7" s="43"/>
      <c r="E7" s="43"/>
      <c r="F7" s="4">
        <f>SUM(Tableau142527[[#This Row],[Durée estimée]:[Durée estimée4]])</f>
        <v>0</v>
      </c>
    </row>
    <row r="8" spans="1:6" x14ac:dyDescent="0.25">
      <c r="A8" s="3"/>
      <c r="B8" s="43"/>
      <c r="C8" s="43"/>
      <c r="D8" s="43"/>
      <c r="E8" s="43"/>
      <c r="F8" s="4">
        <f>SUM(Tableau142527[[#This Row],[Durée estimée]:[Durée estimée4]])</f>
        <v>0</v>
      </c>
    </row>
    <row r="9" spans="1:6" x14ac:dyDescent="0.25">
      <c r="A9" s="3"/>
      <c r="B9" s="43"/>
      <c r="C9" s="43"/>
      <c r="D9" s="43"/>
      <c r="E9" s="43"/>
      <c r="F9" s="4">
        <f>SUM(Tableau142527[[#This Row],[Durée estimée]:[Durée estimée4]])</f>
        <v>0</v>
      </c>
    </row>
    <row r="10" spans="1:6" x14ac:dyDescent="0.25">
      <c r="A10" s="3"/>
      <c r="B10" s="43"/>
      <c r="C10" s="43"/>
      <c r="D10" s="43"/>
      <c r="E10" s="43"/>
      <c r="F10" s="4">
        <f>SUM(Tableau142527[[#This Row],[Durée estimée]:[Durée estimée4]])</f>
        <v>0</v>
      </c>
    </row>
    <row r="11" spans="1:6" x14ac:dyDescent="0.25">
      <c r="A11" s="3"/>
      <c r="B11" s="43"/>
      <c r="C11" s="43"/>
      <c r="D11" s="43"/>
      <c r="E11" s="43"/>
      <c r="F11" s="4">
        <f>SUM(Tableau142527[[#This Row],[Durée estimée]:[Durée estimée4]])</f>
        <v>0</v>
      </c>
    </row>
    <row r="12" spans="1:6" x14ac:dyDescent="0.25">
      <c r="A12" s="3"/>
      <c r="B12" s="43"/>
      <c r="C12" s="43"/>
      <c r="D12" s="43"/>
      <c r="E12" s="43"/>
      <c r="F12" s="4">
        <f>SUM(Tableau142527[[#This Row],[Durée estimée]:[Durée estimée4]])</f>
        <v>0</v>
      </c>
    </row>
    <row r="13" spans="1:6" x14ac:dyDescent="0.25">
      <c r="A13" s="3"/>
      <c r="B13" s="43"/>
      <c r="C13" s="43"/>
      <c r="D13" s="43"/>
      <c r="E13" s="43"/>
      <c r="F13" s="4">
        <f>SUM(Tableau142527[[#This Row],[Durée estimée]:[Durée estimée4]])</f>
        <v>0</v>
      </c>
    </row>
    <row r="14" spans="1:6" x14ac:dyDescent="0.25">
      <c r="A14" s="3"/>
      <c r="B14" s="43"/>
      <c r="C14" s="43"/>
      <c r="D14" s="43"/>
      <c r="E14" s="43"/>
      <c r="F14" s="4">
        <f>SUM(Tableau142527[[#This Row],[Durée estimée]:[Durée estimée4]])</f>
        <v>0</v>
      </c>
    </row>
    <row r="15" spans="1:6" x14ac:dyDescent="0.25">
      <c r="A15" s="3"/>
      <c r="B15" s="43"/>
      <c r="C15" s="43"/>
      <c r="D15" s="43"/>
      <c r="E15" s="43"/>
      <c r="F15" s="4">
        <f>SUM(Tableau142527[[#This Row],[Durée estimée]:[Durée estimée4]])</f>
        <v>0</v>
      </c>
    </row>
    <row r="16" spans="1:6" x14ac:dyDescent="0.25">
      <c r="A16" s="3"/>
      <c r="B16" s="43"/>
      <c r="C16" s="43"/>
      <c r="D16" s="43"/>
      <c r="E16" s="43"/>
      <c r="F16" s="4">
        <f>SUM(Tableau142527[[#This Row],[Durée estimée]:[Durée estimée4]])</f>
        <v>0</v>
      </c>
    </row>
    <row r="17" spans="1:7" x14ac:dyDescent="0.25">
      <c r="A17" s="3"/>
      <c r="B17" s="43"/>
      <c r="C17" s="43"/>
      <c r="D17" s="43"/>
      <c r="E17" s="43"/>
      <c r="F17" s="4">
        <f>SUM(Tableau142527[[#This Row],[Durée estimée]:[Durée estimée4]])</f>
        <v>0</v>
      </c>
    </row>
    <row r="18" spans="1:7" x14ac:dyDescent="0.25">
      <c r="A18" s="3"/>
      <c r="B18" s="43"/>
      <c r="C18" s="43"/>
      <c r="D18" s="43"/>
      <c r="E18" s="43"/>
      <c r="F18" s="4">
        <f>SUM(Tableau142527[[#This Row],[Durée estimée]:[Durée estimée4]])</f>
        <v>0</v>
      </c>
    </row>
    <row r="19" spans="1:7" x14ac:dyDescent="0.25">
      <c r="A19" s="3"/>
      <c r="B19" s="43"/>
      <c r="C19" s="43"/>
      <c r="D19" s="43"/>
      <c r="E19" s="43"/>
      <c r="F19" s="4">
        <f>SUM(Tableau142527[[#This Row],[Durée estimée]:[Durée estimée4]])</f>
        <v>0</v>
      </c>
    </row>
    <row r="20" spans="1:7" x14ac:dyDescent="0.25">
      <c r="A20" s="3"/>
      <c r="B20" s="43"/>
      <c r="C20" s="43"/>
      <c r="D20" s="43"/>
      <c r="E20" s="43"/>
      <c r="F20" s="4">
        <f>SUM(Tableau142527[[#This Row],[Durée estimée]:[Durée estimée4]])</f>
        <v>0</v>
      </c>
    </row>
    <row r="21" spans="1:7" x14ac:dyDescent="0.25">
      <c r="A21" s="3"/>
      <c r="B21" s="43"/>
      <c r="C21" s="43"/>
      <c r="D21" s="43"/>
      <c r="E21" s="43"/>
      <c r="F21" s="4">
        <f>SUM(Tableau142527[[#This Row],[Durée estimée]:[Durée estimée4]])</f>
        <v>0</v>
      </c>
    </row>
    <row r="22" spans="1:7" x14ac:dyDescent="0.25">
      <c r="A22" s="3"/>
      <c r="B22" s="43"/>
      <c r="C22" s="43"/>
      <c r="D22" s="43"/>
      <c r="E22" s="43"/>
      <c r="F22" s="4">
        <f>SUM(Tableau142527[[#This Row],[Durée estimée]:[Durée estimée4]])</f>
        <v>0</v>
      </c>
    </row>
    <row r="23" spans="1:7" x14ac:dyDescent="0.25">
      <c r="A23" s="3"/>
      <c r="B23" s="43"/>
      <c r="C23" s="43"/>
      <c r="D23" s="43"/>
      <c r="E23" s="43"/>
      <c r="F23" s="4">
        <f>SUM(Tableau142527[[#This Row],[Durée estimée]:[Durée estimée4]])</f>
        <v>0</v>
      </c>
    </row>
    <row r="24" spans="1:7" x14ac:dyDescent="0.25">
      <c r="A24" s="49"/>
      <c r="B24" s="43"/>
      <c r="C24" s="43"/>
      <c r="D24" s="43"/>
      <c r="E24" s="64"/>
      <c r="F24" s="4">
        <f>SUM(Tableau142527[[#This Row],[Durée estimée]:[Durée estimée4]])</f>
        <v>0</v>
      </c>
    </row>
    <row r="25" spans="1:7" ht="15.75" thickBot="1" x14ac:dyDescent="0.3">
      <c r="A25" s="19"/>
      <c r="B25" s="44"/>
      <c r="C25" s="44"/>
      <c r="D25" s="44"/>
      <c r="E25" s="44"/>
      <c r="F25" s="4">
        <f>SUM(Tableau142527[[#This Row],[Durée estimée]:[Durée estimée4]])</f>
        <v>0</v>
      </c>
    </row>
    <row r="26" spans="1:7" x14ac:dyDescent="0.25">
      <c r="A26" s="16" t="s">
        <v>18</v>
      </c>
      <c r="B26" s="45">
        <f>SUM(B3:B25)</f>
        <v>0</v>
      </c>
      <c r="C26" s="45">
        <f t="shared" ref="C26:E26" si="0">SUM(C3:C25)</f>
        <v>0</v>
      </c>
      <c r="D26" s="45">
        <f t="shared" si="0"/>
        <v>0</v>
      </c>
      <c r="E26" s="45">
        <f t="shared" si="0"/>
        <v>0</v>
      </c>
      <c r="F26" s="21">
        <f>SUM(F3:F25)</f>
        <v>0</v>
      </c>
    </row>
    <row r="27" spans="1:7" ht="27" thickBot="1" x14ac:dyDescent="0.3">
      <c r="A27" s="22" t="s">
        <v>19</v>
      </c>
      <c r="B27" s="46" t="str">
        <f>IF($F$26=0,"Non renseigné",B26/$F$26*100)</f>
        <v>Non renseigné</v>
      </c>
      <c r="C27" s="46" t="str">
        <f>IF($F$26=0,"Non renseigné",C26/$F$26*100)</f>
        <v>Non renseigné</v>
      </c>
      <c r="D27" s="46" t="str">
        <f>IF($F$26=0,"Non renseigné",D26/$F$26*100)</f>
        <v>Non renseigné</v>
      </c>
      <c r="E27" s="46" t="str">
        <f>IF($F$26=0,"Non renseigné",E26/$F$26*100)</f>
        <v>Non renseigné</v>
      </c>
      <c r="F27" s="23">
        <f>SUM(Tableau142527[[#This Row],[Durée estimée]:[Durée estimée4]])</f>
        <v>0</v>
      </c>
    </row>
    <row r="28" spans="1:7" x14ac:dyDescent="0.25">
      <c r="A28" s="1"/>
      <c r="C28" s="1"/>
      <c r="D28" s="1"/>
      <c r="E28" s="1"/>
      <c r="F28" s="1"/>
      <c r="G28" s="1"/>
    </row>
    <row r="29" spans="1:7" x14ac:dyDescent="0.25">
      <c r="A29" s="1"/>
      <c r="C29" s="1"/>
      <c r="D29" s="1"/>
      <c r="E29" s="1"/>
      <c r="F29" s="1"/>
      <c r="G29" s="1"/>
    </row>
    <row r="30" spans="1:7" x14ac:dyDescent="0.25">
      <c r="A30" s="1"/>
      <c r="C30" s="1"/>
      <c r="D30" s="1"/>
      <c r="E30" s="1"/>
      <c r="F30" s="1"/>
      <c r="G30" s="1"/>
    </row>
    <row r="37" spans="1:7" x14ac:dyDescent="0.25">
      <c r="A37" s="1"/>
      <c r="C37" s="1"/>
      <c r="D37" s="1"/>
      <c r="E37" s="1"/>
      <c r="F37" s="1"/>
      <c r="G37" s="1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E8393-0E15-446E-8692-5CA210E4419A}">
  <dimension ref="A1:N37"/>
  <sheetViews>
    <sheetView zoomScaleNormal="100" workbookViewId="0">
      <selection activeCell="I3" sqref="I3"/>
    </sheetView>
  </sheetViews>
  <sheetFormatPr baseColWidth="10" defaultRowHeight="15" x14ac:dyDescent="0.25"/>
  <cols>
    <col min="1" max="1" width="22.7109375" customWidth="1"/>
    <col min="2" max="2" width="14.28515625" customWidth="1"/>
    <col min="3" max="3" width="15.5703125" customWidth="1"/>
    <col min="4" max="4" width="15" customWidth="1"/>
    <col min="5" max="5" width="16.140625" customWidth="1"/>
    <col min="7" max="7" width="15.85546875" customWidth="1"/>
    <col min="9" max="9" width="21" customWidth="1"/>
    <col min="10" max="10" width="16.42578125" customWidth="1"/>
    <col min="11" max="11" width="15.28515625" customWidth="1"/>
    <col min="12" max="12" width="16.42578125" customWidth="1"/>
    <col min="13" max="13" width="14.7109375" customWidth="1"/>
    <col min="14" max="14" width="14.42578125" customWidth="1"/>
  </cols>
  <sheetData>
    <row r="1" spans="1:14" ht="26.25" x14ac:dyDescent="0.25">
      <c r="A1" s="7" t="s">
        <v>16</v>
      </c>
      <c r="B1" s="8" t="str">
        <f>Synthèse!D2</f>
        <v>Nom1</v>
      </c>
      <c r="C1" s="8" t="str">
        <f>Synthèse!D3</f>
        <v>Nom2</v>
      </c>
      <c r="D1" s="8" t="str">
        <f>Synthèse!D4</f>
        <v>Nom3</v>
      </c>
      <c r="E1" s="8" t="str">
        <f>Synthèse!D5</f>
        <v>Nom4</v>
      </c>
      <c r="F1" s="8"/>
      <c r="G1" s="9"/>
      <c r="I1" s="16" t="s">
        <v>17</v>
      </c>
      <c r="J1" s="17" t="str">
        <f>Synthèse!$D2</f>
        <v>Nom1</v>
      </c>
      <c r="K1" s="17" t="str">
        <f>Synthèse!$D3</f>
        <v>Nom2</v>
      </c>
      <c r="L1" s="17" t="str">
        <f>Synthèse!$D4</f>
        <v>Nom3</v>
      </c>
      <c r="M1" s="17" t="str">
        <f>Synthèse!$D5</f>
        <v>Nom4</v>
      </c>
      <c r="N1" s="17"/>
    </row>
    <row r="2" spans="1:14" ht="51.75" x14ac:dyDescent="0.25">
      <c r="A2" s="10" t="s">
        <v>38</v>
      </c>
      <c r="B2" s="6" t="s">
        <v>39</v>
      </c>
      <c r="C2" s="6" t="s">
        <v>40</v>
      </c>
      <c r="D2" s="6" t="s">
        <v>41</v>
      </c>
      <c r="E2" s="6" t="s">
        <v>42</v>
      </c>
      <c r="F2" s="6" t="s">
        <v>36</v>
      </c>
      <c r="G2" s="11" t="s">
        <v>37</v>
      </c>
      <c r="I2" s="18" t="s">
        <v>38</v>
      </c>
      <c r="J2" s="15" t="s">
        <v>32</v>
      </c>
      <c r="K2" s="15" t="s">
        <v>33</v>
      </c>
      <c r="L2" s="15" t="s">
        <v>34</v>
      </c>
      <c r="M2" s="15" t="s">
        <v>35</v>
      </c>
      <c r="N2" s="15" t="s">
        <v>2</v>
      </c>
    </row>
    <row r="3" spans="1:14" x14ac:dyDescent="0.25">
      <c r="A3" s="4" t="str">
        <f>IF(ISBLANK(Tableau142527[[#This Row],[Description de la tâche]]),"",Tableau142527[[#This Row],[Description de la tâche]])</f>
        <v/>
      </c>
      <c r="B3" s="4" t="str">
        <f>IF(ISBLANK(Tableau142527[[#This Row],[Durée estimée]]),"",Tableau142527[[#This Row],[Durée estimée]])</f>
        <v/>
      </c>
      <c r="C3" s="4" t="str">
        <f>IF(ISBLANK(Tableau142527[[#This Row],[Durée estimée2]]),"",Tableau142527[[#This Row],[Durée estimée2]])</f>
        <v/>
      </c>
      <c r="D3" s="4" t="str">
        <f>IF(ISBLANK(Tableau142527[[#This Row],[Durée estimée3]]),"",Tableau142527[[#This Row],[Durée estimée3]])</f>
        <v/>
      </c>
      <c r="E3" s="4" t="str">
        <f>IF(ISBLANK(Tableau142527[[#This Row],[Durée estimée4]]),"",Tableau142527[[#This Row],[Durée estimée4]])</f>
        <v/>
      </c>
      <c r="F3" s="43">
        <f>SUM(Tableau132628[[#This Row],[Durée réelle en heures]:[Durée réelle en heures4]])</f>
        <v>0</v>
      </c>
      <c r="G3" s="12">
        <f>IF('Séance 5'!F3=0,0,IF('Séance 4'!F3=0,"Nouvelle tâche",(('Séance 5'!F3)/'Séance 4'!F3)))</f>
        <v>0</v>
      </c>
      <c r="I3" s="3"/>
      <c r="J3" s="43"/>
      <c r="K3" s="43"/>
      <c r="L3" s="43"/>
      <c r="M3" s="43"/>
      <c r="N3" s="4">
        <f>SUM(Tableau14252729[[#This Row],[Durée estimée]:[Durée estimée4]])</f>
        <v>0</v>
      </c>
    </row>
    <row r="4" spans="1:14" x14ac:dyDescent="0.25">
      <c r="A4" s="4" t="str">
        <f>IF(ISBLANK(Tableau142527[[#This Row],[Description de la tâche]]),"",Tableau142527[[#This Row],[Description de la tâche]])</f>
        <v/>
      </c>
      <c r="B4" s="4" t="str">
        <f>IF(ISBLANK(Tableau142527[[#This Row],[Durée estimée]]),"",Tableau142527[[#This Row],[Durée estimée]])</f>
        <v/>
      </c>
      <c r="C4" s="4" t="str">
        <f>IF(ISBLANK(Tableau142527[[#This Row],[Durée estimée2]]),"",Tableau142527[[#This Row],[Durée estimée2]])</f>
        <v/>
      </c>
      <c r="D4" s="4" t="str">
        <f>IF(ISBLANK(Tableau142527[[#This Row],[Durée estimée3]]),"",Tableau142527[[#This Row],[Durée estimée3]])</f>
        <v/>
      </c>
      <c r="E4" s="4" t="str">
        <f>IF(ISBLANK(Tableau142527[[#This Row],[Durée estimée4]]),"",Tableau142527[[#This Row],[Durée estimée4]])</f>
        <v/>
      </c>
      <c r="F4" s="43">
        <f>SUM(Tableau132628[[#This Row],[Durée réelle en heures]:[Durée réelle en heures4]])</f>
        <v>0</v>
      </c>
      <c r="G4" s="12">
        <f>IF('Séance 5'!F4=0,0,IF('Séance 4'!F4=0,"Nouvelle tâche",(('Séance 5'!F4)/'Séance 4'!F4)))</f>
        <v>0</v>
      </c>
      <c r="I4" s="3"/>
      <c r="J4" s="43"/>
      <c r="K4" s="43"/>
      <c r="L4" s="43"/>
      <c r="M4" s="43"/>
      <c r="N4" s="4">
        <f>SUM(Tableau14252729[[#This Row],[Durée estimée]:[Durée estimée4]])</f>
        <v>0</v>
      </c>
    </row>
    <row r="5" spans="1:14" x14ac:dyDescent="0.25">
      <c r="A5" s="4" t="str">
        <f>IF(ISBLANK(Tableau142527[[#This Row],[Description de la tâche]]),"",Tableau142527[[#This Row],[Description de la tâche]])</f>
        <v/>
      </c>
      <c r="B5" s="4" t="str">
        <f>IF(ISBLANK(Tableau142527[[#This Row],[Durée estimée]]),"",Tableau142527[[#This Row],[Durée estimée]])</f>
        <v/>
      </c>
      <c r="C5" s="4" t="str">
        <f>IF(ISBLANK(Tableau142527[[#This Row],[Durée estimée2]]),"",Tableau142527[[#This Row],[Durée estimée2]])</f>
        <v/>
      </c>
      <c r="D5" s="4" t="str">
        <f>IF(ISBLANK(Tableau142527[[#This Row],[Durée estimée3]]),"",Tableau142527[[#This Row],[Durée estimée3]])</f>
        <v/>
      </c>
      <c r="E5" s="4" t="str">
        <f>IF(ISBLANK(Tableau142527[[#This Row],[Durée estimée4]]),"",Tableau142527[[#This Row],[Durée estimée4]])</f>
        <v/>
      </c>
      <c r="F5" s="43">
        <f>SUM(Tableau132628[[#This Row],[Durée réelle en heures]:[Durée réelle en heures4]])</f>
        <v>0</v>
      </c>
      <c r="G5" s="12">
        <f>IF('Séance 5'!F5=0,0,IF('Séance 4'!F5=0,"Nouvelle tâche",(('Séance 5'!F5)/'Séance 4'!F5)))</f>
        <v>0</v>
      </c>
      <c r="I5" s="3"/>
      <c r="J5" s="43"/>
      <c r="K5" s="43"/>
      <c r="L5" s="43"/>
      <c r="M5" s="43"/>
      <c r="N5" s="4">
        <f>SUM(Tableau14252729[[#This Row],[Durée estimée]:[Durée estimée4]])</f>
        <v>0</v>
      </c>
    </row>
    <row r="6" spans="1:14" x14ac:dyDescent="0.25">
      <c r="A6" s="4" t="str">
        <f>IF(ISBLANK(Tableau142527[[#This Row],[Description de la tâche]]),"",Tableau142527[[#This Row],[Description de la tâche]])</f>
        <v/>
      </c>
      <c r="B6" s="4" t="str">
        <f>IF(ISBLANK(Tableau142527[[#This Row],[Durée estimée]]),"",Tableau142527[[#This Row],[Durée estimée]])</f>
        <v/>
      </c>
      <c r="C6" s="4" t="str">
        <f>IF(ISBLANK(Tableau142527[[#This Row],[Durée estimée2]]),"",Tableau142527[[#This Row],[Durée estimée2]])</f>
        <v/>
      </c>
      <c r="D6" s="4" t="str">
        <f>IF(ISBLANK(Tableau142527[[#This Row],[Durée estimée3]]),"",Tableau142527[[#This Row],[Durée estimée3]])</f>
        <v/>
      </c>
      <c r="E6" s="4" t="str">
        <f>IF(ISBLANK(Tableau142527[[#This Row],[Durée estimée4]]),"",Tableau142527[[#This Row],[Durée estimée4]])</f>
        <v/>
      </c>
      <c r="F6" s="43">
        <f>SUM(Tableau132628[[#This Row],[Durée réelle en heures]:[Durée réelle en heures4]])</f>
        <v>0</v>
      </c>
      <c r="G6" s="12">
        <f>IF('Séance 5'!F6=0,0,IF('Séance 4'!F6=0,"Nouvelle tâche",(('Séance 5'!F6)/'Séance 4'!F6)))</f>
        <v>0</v>
      </c>
      <c r="I6" s="3"/>
      <c r="J6" s="43"/>
      <c r="K6" s="43"/>
      <c r="L6" s="43"/>
      <c r="M6" s="43"/>
      <c r="N6" s="4">
        <f>SUM(Tableau14252729[[#This Row],[Durée estimée]:[Durée estimée4]])</f>
        <v>0</v>
      </c>
    </row>
    <row r="7" spans="1:14" x14ac:dyDescent="0.25">
      <c r="A7" s="4" t="str">
        <f>IF(ISBLANK(Tableau142527[[#This Row],[Description de la tâche]]),"",Tableau142527[[#This Row],[Description de la tâche]])</f>
        <v/>
      </c>
      <c r="B7" s="4" t="str">
        <f>IF(ISBLANK(Tableau142527[[#This Row],[Durée estimée]]),"",Tableau142527[[#This Row],[Durée estimée]])</f>
        <v/>
      </c>
      <c r="C7" s="4" t="str">
        <f>IF(ISBLANK(Tableau142527[[#This Row],[Durée estimée2]]),"",Tableau142527[[#This Row],[Durée estimée2]])</f>
        <v/>
      </c>
      <c r="D7" s="4" t="str">
        <f>IF(ISBLANK(Tableau142527[[#This Row],[Durée estimée3]]),"",Tableau142527[[#This Row],[Durée estimée3]])</f>
        <v/>
      </c>
      <c r="E7" s="4" t="str">
        <f>IF(ISBLANK(Tableau142527[[#This Row],[Durée estimée4]]),"",Tableau142527[[#This Row],[Durée estimée4]])</f>
        <v/>
      </c>
      <c r="F7" s="43">
        <f>SUM(Tableau132628[[#This Row],[Durée réelle en heures]:[Durée réelle en heures4]])</f>
        <v>0</v>
      </c>
      <c r="G7" s="12">
        <f>IF('Séance 5'!F7=0,0,IF('Séance 4'!F7=0,"Nouvelle tâche",(('Séance 5'!F7)/'Séance 4'!F7)))</f>
        <v>0</v>
      </c>
      <c r="I7" s="3"/>
      <c r="J7" s="43"/>
      <c r="K7" s="43"/>
      <c r="L7" s="43"/>
      <c r="M7" s="43"/>
      <c r="N7" s="4">
        <f>SUM(Tableau14252729[[#This Row],[Durée estimée]:[Durée estimée4]])</f>
        <v>0</v>
      </c>
    </row>
    <row r="8" spans="1:14" x14ac:dyDescent="0.25">
      <c r="A8" s="4" t="str">
        <f>IF(ISBLANK(Tableau142527[[#This Row],[Description de la tâche]]),"",Tableau142527[[#This Row],[Description de la tâche]])</f>
        <v/>
      </c>
      <c r="B8" s="4" t="str">
        <f>IF(ISBLANK(Tableau142527[[#This Row],[Durée estimée]]),"",Tableau142527[[#This Row],[Durée estimée]])</f>
        <v/>
      </c>
      <c r="C8" s="4" t="str">
        <f>IF(ISBLANK(Tableau142527[[#This Row],[Durée estimée2]]),"",Tableau142527[[#This Row],[Durée estimée2]])</f>
        <v/>
      </c>
      <c r="D8" s="4" t="str">
        <f>IF(ISBLANK(Tableau142527[[#This Row],[Durée estimée3]]),"",Tableau142527[[#This Row],[Durée estimée3]])</f>
        <v/>
      </c>
      <c r="E8" s="4" t="str">
        <f>IF(ISBLANK(Tableau142527[[#This Row],[Durée estimée4]]),"",Tableau142527[[#This Row],[Durée estimée4]])</f>
        <v/>
      </c>
      <c r="F8" s="43">
        <f>SUM(Tableau132628[[#This Row],[Durée réelle en heures]:[Durée réelle en heures4]])</f>
        <v>0</v>
      </c>
      <c r="G8" s="12">
        <f>IF('Séance 5'!F8=0,0,IF('Séance 4'!F8=0,"Nouvelle tâche",(('Séance 5'!F8)/'Séance 4'!F8)))</f>
        <v>0</v>
      </c>
      <c r="I8" s="3"/>
      <c r="J8" s="43"/>
      <c r="K8" s="43"/>
      <c r="L8" s="43"/>
      <c r="M8" s="43"/>
      <c r="N8" s="4">
        <f>SUM(Tableau14252729[[#This Row],[Durée estimée]:[Durée estimée4]])</f>
        <v>0</v>
      </c>
    </row>
    <row r="9" spans="1:14" x14ac:dyDescent="0.25">
      <c r="A9" s="4" t="str">
        <f>IF(ISBLANK(Tableau142527[[#This Row],[Description de la tâche]]),"",Tableau142527[[#This Row],[Description de la tâche]])</f>
        <v/>
      </c>
      <c r="B9" s="4" t="str">
        <f>IF(ISBLANK(Tableau142527[[#This Row],[Durée estimée]]),"",Tableau142527[[#This Row],[Durée estimée]])</f>
        <v/>
      </c>
      <c r="C9" s="4" t="str">
        <f>IF(ISBLANK(Tableau142527[[#This Row],[Durée estimée2]]),"",Tableau142527[[#This Row],[Durée estimée2]])</f>
        <v/>
      </c>
      <c r="D9" s="4" t="str">
        <f>IF(ISBLANK(Tableau142527[[#This Row],[Durée estimée3]]),"",Tableau142527[[#This Row],[Durée estimée3]])</f>
        <v/>
      </c>
      <c r="E9" s="4" t="str">
        <f>IF(ISBLANK(Tableau142527[[#This Row],[Durée estimée4]]),"",Tableau142527[[#This Row],[Durée estimée4]])</f>
        <v/>
      </c>
      <c r="F9" s="43">
        <f>SUM(Tableau132628[[#This Row],[Durée réelle en heures]:[Durée réelle en heures4]])</f>
        <v>0</v>
      </c>
      <c r="G9" s="12">
        <f>IF('Séance 5'!F9=0,0,IF('Séance 4'!F9=0,"Nouvelle tâche",(('Séance 5'!F9)/'Séance 4'!F9)))</f>
        <v>0</v>
      </c>
      <c r="I9" s="3"/>
      <c r="J9" s="43"/>
      <c r="K9" s="43"/>
      <c r="L9" s="43"/>
      <c r="M9" s="43"/>
      <c r="N9" s="4">
        <f>SUM(Tableau14252729[[#This Row],[Durée estimée]:[Durée estimée4]])</f>
        <v>0</v>
      </c>
    </row>
    <row r="10" spans="1:14" x14ac:dyDescent="0.25">
      <c r="A10" s="4" t="str">
        <f>IF(ISBLANK(Tableau142527[[#This Row],[Description de la tâche]]),"",Tableau142527[[#This Row],[Description de la tâche]])</f>
        <v/>
      </c>
      <c r="B10" s="4" t="str">
        <f>IF(ISBLANK(Tableau142527[[#This Row],[Durée estimée]]),"",Tableau142527[[#This Row],[Durée estimée]])</f>
        <v/>
      </c>
      <c r="C10" s="4" t="str">
        <f>IF(ISBLANK(Tableau142527[[#This Row],[Durée estimée2]]),"",Tableau142527[[#This Row],[Durée estimée2]])</f>
        <v/>
      </c>
      <c r="D10" s="4" t="str">
        <f>IF(ISBLANK(Tableau142527[[#This Row],[Durée estimée3]]),"",Tableau142527[[#This Row],[Durée estimée3]])</f>
        <v/>
      </c>
      <c r="E10" s="4" t="str">
        <f>IF(ISBLANK(Tableau142527[[#This Row],[Durée estimée4]]),"",Tableau142527[[#This Row],[Durée estimée4]])</f>
        <v/>
      </c>
      <c r="F10" s="43">
        <f>SUM(Tableau132628[[#This Row],[Durée réelle en heures]:[Durée réelle en heures4]])</f>
        <v>0</v>
      </c>
      <c r="G10" s="12">
        <f>IF('Séance 5'!F10=0,0,IF('Séance 4'!F10=0,"Nouvelle tâche",(('Séance 5'!F10)/'Séance 4'!F10)))</f>
        <v>0</v>
      </c>
      <c r="I10" s="3"/>
      <c r="J10" s="43"/>
      <c r="K10" s="43"/>
      <c r="L10" s="43"/>
      <c r="M10" s="43"/>
      <c r="N10" s="4">
        <f>SUM(Tableau14252729[[#This Row],[Durée estimée]:[Durée estimée4]])</f>
        <v>0</v>
      </c>
    </row>
    <row r="11" spans="1:14" x14ac:dyDescent="0.25">
      <c r="A11" s="4" t="str">
        <f>IF(ISBLANK(Tableau142527[[#This Row],[Description de la tâche]]),"",Tableau142527[[#This Row],[Description de la tâche]])</f>
        <v/>
      </c>
      <c r="B11" s="4" t="str">
        <f>IF(ISBLANK(Tableau142527[[#This Row],[Durée estimée]]),"",Tableau142527[[#This Row],[Durée estimée]])</f>
        <v/>
      </c>
      <c r="C11" s="4" t="str">
        <f>IF(ISBLANK(Tableau142527[[#This Row],[Durée estimée2]]),"",Tableau142527[[#This Row],[Durée estimée2]])</f>
        <v/>
      </c>
      <c r="D11" s="4" t="str">
        <f>IF(ISBLANK(Tableau142527[[#This Row],[Durée estimée3]]),"",Tableau142527[[#This Row],[Durée estimée3]])</f>
        <v/>
      </c>
      <c r="E11" s="4" t="str">
        <f>IF(ISBLANK(Tableau142527[[#This Row],[Durée estimée4]]),"",Tableau142527[[#This Row],[Durée estimée4]])</f>
        <v/>
      </c>
      <c r="F11" s="43">
        <f>SUM(Tableau132628[[#This Row],[Durée réelle en heures]:[Durée réelle en heures4]])</f>
        <v>0</v>
      </c>
      <c r="G11" s="12">
        <f>IF('Séance 5'!F11=0,0,IF('Séance 4'!F11=0,"Nouvelle tâche",(('Séance 5'!F11)/'Séance 4'!F11)))</f>
        <v>0</v>
      </c>
      <c r="I11" s="3"/>
      <c r="J11" s="43"/>
      <c r="K11" s="43"/>
      <c r="L11" s="43"/>
      <c r="M11" s="43"/>
      <c r="N11" s="4">
        <f>SUM(Tableau14252729[[#This Row],[Durée estimée]:[Durée estimée4]])</f>
        <v>0</v>
      </c>
    </row>
    <row r="12" spans="1:14" x14ac:dyDescent="0.25">
      <c r="A12" s="4" t="str">
        <f>IF(ISBLANK(Tableau142527[[#This Row],[Description de la tâche]]),"",Tableau142527[[#This Row],[Description de la tâche]])</f>
        <v/>
      </c>
      <c r="B12" s="4" t="str">
        <f>IF(ISBLANK(Tableau142527[[#This Row],[Durée estimée]]),"",Tableau142527[[#This Row],[Durée estimée]])</f>
        <v/>
      </c>
      <c r="C12" s="4" t="str">
        <f>IF(ISBLANK(Tableau142527[[#This Row],[Durée estimée2]]),"",Tableau142527[[#This Row],[Durée estimée2]])</f>
        <v/>
      </c>
      <c r="D12" s="4" t="str">
        <f>IF(ISBLANK(Tableau142527[[#This Row],[Durée estimée3]]),"",Tableau142527[[#This Row],[Durée estimée3]])</f>
        <v/>
      </c>
      <c r="E12" s="4" t="str">
        <f>IF(ISBLANK(Tableau142527[[#This Row],[Durée estimée4]]),"",Tableau142527[[#This Row],[Durée estimée4]])</f>
        <v/>
      </c>
      <c r="F12" s="43">
        <f>SUM(Tableau132628[[#This Row],[Durée réelle en heures]:[Durée réelle en heures4]])</f>
        <v>0</v>
      </c>
      <c r="G12" s="12">
        <f>IF('Séance 5'!F12=0,0,IF('Séance 4'!F12=0,"Nouvelle tâche",(('Séance 5'!F12)/'Séance 4'!F12)))</f>
        <v>0</v>
      </c>
      <c r="I12" s="3"/>
      <c r="J12" s="43"/>
      <c r="K12" s="43"/>
      <c r="L12" s="43"/>
      <c r="M12" s="43"/>
      <c r="N12" s="4">
        <f>SUM(Tableau14252729[[#This Row],[Durée estimée]:[Durée estimée4]])</f>
        <v>0</v>
      </c>
    </row>
    <row r="13" spans="1:14" x14ac:dyDescent="0.25">
      <c r="A13" s="4" t="str">
        <f>IF(ISBLANK(Tableau142527[[#This Row],[Description de la tâche]]),"",Tableau142527[[#This Row],[Description de la tâche]])</f>
        <v/>
      </c>
      <c r="B13" s="4" t="str">
        <f>IF(ISBLANK(Tableau142527[[#This Row],[Durée estimée]]),"",Tableau142527[[#This Row],[Durée estimée]])</f>
        <v/>
      </c>
      <c r="C13" s="4" t="str">
        <f>IF(ISBLANK(Tableau142527[[#This Row],[Durée estimée2]]),"",Tableau142527[[#This Row],[Durée estimée2]])</f>
        <v/>
      </c>
      <c r="D13" s="4" t="str">
        <f>IF(ISBLANK(Tableau142527[[#This Row],[Durée estimée3]]),"",Tableau142527[[#This Row],[Durée estimée3]])</f>
        <v/>
      </c>
      <c r="E13" s="4" t="str">
        <f>IF(ISBLANK(Tableau142527[[#This Row],[Durée estimée4]]),"",Tableau142527[[#This Row],[Durée estimée4]])</f>
        <v/>
      </c>
      <c r="F13" s="43">
        <f>SUM(Tableau132628[[#This Row],[Durée réelle en heures]:[Durée réelle en heures4]])</f>
        <v>0</v>
      </c>
      <c r="G13" s="12">
        <f>IF('Séance 5'!F13=0,0,IF('Séance 4'!F13=0,"Nouvelle tâche",(('Séance 5'!F13)/'Séance 4'!F13)))</f>
        <v>0</v>
      </c>
      <c r="I13" s="3"/>
      <c r="J13" s="43"/>
      <c r="K13" s="43"/>
      <c r="L13" s="43"/>
      <c r="M13" s="43"/>
      <c r="N13" s="4">
        <f>SUM(Tableau14252729[[#This Row],[Durée estimée]:[Durée estimée4]])</f>
        <v>0</v>
      </c>
    </row>
    <row r="14" spans="1:14" x14ac:dyDescent="0.25">
      <c r="A14" s="4" t="str">
        <f>IF(ISBLANK(Tableau142527[[#This Row],[Description de la tâche]]),"",Tableau142527[[#This Row],[Description de la tâche]])</f>
        <v/>
      </c>
      <c r="B14" s="4" t="str">
        <f>IF(ISBLANK(Tableau142527[[#This Row],[Durée estimée]]),"",Tableau142527[[#This Row],[Durée estimée]])</f>
        <v/>
      </c>
      <c r="C14" s="4" t="str">
        <f>IF(ISBLANK(Tableau142527[[#This Row],[Durée estimée2]]),"",Tableau142527[[#This Row],[Durée estimée2]])</f>
        <v/>
      </c>
      <c r="D14" s="4" t="str">
        <f>IF(ISBLANK(Tableau142527[[#This Row],[Durée estimée3]]),"",Tableau142527[[#This Row],[Durée estimée3]])</f>
        <v/>
      </c>
      <c r="E14" s="4" t="str">
        <f>IF(ISBLANK(Tableau142527[[#This Row],[Durée estimée4]]),"",Tableau142527[[#This Row],[Durée estimée4]])</f>
        <v/>
      </c>
      <c r="F14" s="43">
        <f>SUM(Tableau132628[[#This Row],[Durée réelle en heures]:[Durée réelle en heures4]])</f>
        <v>0</v>
      </c>
      <c r="G14" s="12">
        <f>IF('Séance 5'!F14=0,0,IF('Séance 4'!F14=0,"Nouvelle tâche",(('Séance 5'!F14)/'Séance 4'!F14)))</f>
        <v>0</v>
      </c>
      <c r="I14" s="3"/>
      <c r="J14" s="43"/>
      <c r="K14" s="43"/>
      <c r="L14" s="43"/>
      <c r="M14" s="43"/>
      <c r="N14" s="4">
        <f>SUM(Tableau14252729[[#This Row],[Durée estimée]:[Durée estimée4]])</f>
        <v>0</v>
      </c>
    </row>
    <row r="15" spans="1:14" x14ac:dyDescent="0.25">
      <c r="A15" s="4" t="str">
        <f>IF(ISBLANK(Tableau142527[[#This Row],[Description de la tâche]]),"",Tableau142527[[#This Row],[Description de la tâche]])</f>
        <v/>
      </c>
      <c r="B15" s="4" t="str">
        <f>IF(ISBLANK(Tableau142527[[#This Row],[Durée estimée]]),"",Tableau142527[[#This Row],[Durée estimée]])</f>
        <v/>
      </c>
      <c r="C15" s="4" t="str">
        <f>IF(ISBLANK(Tableau142527[[#This Row],[Durée estimée2]]),"",Tableau142527[[#This Row],[Durée estimée2]])</f>
        <v/>
      </c>
      <c r="D15" s="4" t="str">
        <f>IF(ISBLANK(Tableau142527[[#This Row],[Durée estimée3]]),"",Tableau142527[[#This Row],[Durée estimée3]])</f>
        <v/>
      </c>
      <c r="E15" s="4" t="str">
        <f>IF(ISBLANK(Tableau142527[[#This Row],[Durée estimée4]]),"",Tableau142527[[#This Row],[Durée estimée4]])</f>
        <v/>
      </c>
      <c r="F15" s="43">
        <f>SUM(Tableau132628[[#This Row],[Durée réelle en heures]:[Durée réelle en heures4]])</f>
        <v>0</v>
      </c>
      <c r="G15" s="12">
        <f>IF('Séance 5'!F15=0,0,IF('Séance 4'!F15=0,"Nouvelle tâche",(('Séance 5'!F15)/'Séance 4'!F15)))</f>
        <v>0</v>
      </c>
      <c r="I15" s="3"/>
      <c r="J15" s="43"/>
      <c r="K15" s="43"/>
      <c r="L15" s="43"/>
      <c r="M15" s="43"/>
      <c r="N15" s="4">
        <f>SUM(Tableau14252729[[#This Row],[Durée estimée]:[Durée estimée4]])</f>
        <v>0</v>
      </c>
    </row>
    <row r="16" spans="1:14" x14ac:dyDescent="0.25">
      <c r="A16" s="4" t="str">
        <f>IF(ISBLANK(Tableau142527[[#This Row],[Description de la tâche]]),"",Tableau142527[[#This Row],[Description de la tâche]])</f>
        <v/>
      </c>
      <c r="B16" s="4" t="str">
        <f>IF(ISBLANK(Tableau142527[[#This Row],[Durée estimée]]),"",Tableau142527[[#This Row],[Durée estimée]])</f>
        <v/>
      </c>
      <c r="C16" s="4" t="str">
        <f>IF(ISBLANK(Tableau142527[[#This Row],[Durée estimée2]]),"",Tableau142527[[#This Row],[Durée estimée2]])</f>
        <v/>
      </c>
      <c r="D16" s="4" t="str">
        <f>IF(ISBLANK(Tableau142527[[#This Row],[Durée estimée3]]),"",Tableau142527[[#This Row],[Durée estimée3]])</f>
        <v/>
      </c>
      <c r="E16" s="4" t="str">
        <f>IF(ISBLANK(Tableau142527[[#This Row],[Durée estimée4]]),"",Tableau142527[[#This Row],[Durée estimée4]])</f>
        <v/>
      </c>
      <c r="F16" s="43">
        <f>SUM(Tableau132628[[#This Row],[Durée réelle en heures]:[Durée réelle en heures4]])</f>
        <v>0</v>
      </c>
      <c r="G16" s="12">
        <f>IF('Séance 5'!F16=0,0,IF('Séance 4'!F16=0,"Nouvelle tâche",(('Séance 5'!F16)/'Séance 4'!F16)))</f>
        <v>0</v>
      </c>
      <c r="I16" s="3"/>
      <c r="J16" s="43"/>
      <c r="K16" s="43"/>
      <c r="L16" s="43"/>
      <c r="M16" s="43"/>
      <c r="N16" s="4">
        <f>SUM(Tableau14252729[[#This Row],[Durée estimée]:[Durée estimée4]])</f>
        <v>0</v>
      </c>
    </row>
    <row r="17" spans="1:14" x14ac:dyDescent="0.25">
      <c r="A17" s="4" t="str">
        <f>IF(ISBLANK(Tableau142527[[#This Row],[Description de la tâche]]),"",Tableau142527[[#This Row],[Description de la tâche]])</f>
        <v/>
      </c>
      <c r="B17" s="4" t="str">
        <f>IF(ISBLANK(Tableau142527[[#This Row],[Durée estimée]]),"",Tableau142527[[#This Row],[Durée estimée]])</f>
        <v/>
      </c>
      <c r="C17" s="4" t="str">
        <f>IF(ISBLANK(Tableau142527[[#This Row],[Durée estimée2]]),"",Tableau142527[[#This Row],[Durée estimée2]])</f>
        <v/>
      </c>
      <c r="D17" s="4" t="str">
        <f>IF(ISBLANK(Tableau142527[[#This Row],[Durée estimée3]]),"",Tableau142527[[#This Row],[Durée estimée3]])</f>
        <v/>
      </c>
      <c r="E17" s="4" t="str">
        <f>IF(ISBLANK(Tableau142527[[#This Row],[Durée estimée4]]),"",Tableau142527[[#This Row],[Durée estimée4]])</f>
        <v/>
      </c>
      <c r="F17" s="43">
        <f>SUM(Tableau132628[[#This Row],[Durée réelle en heures]:[Durée réelle en heures4]])</f>
        <v>0</v>
      </c>
      <c r="G17" s="12">
        <f>IF('Séance 5'!F17=0,0,IF('Séance 4'!F17=0,"Nouvelle tâche",(('Séance 5'!F17)/'Séance 4'!F17)))</f>
        <v>0</v>
      </c>
      <c r="I17" s="3"/>
      <c r="J17" s="43"/>
      <c r="K17" s="43"/>
      <c r="L17" s="43"/>
      <c r="M17" s="43"/>
      <c r="N17" s="4">
        <f>SUM(Tableau14252729[[#This Row],[Durée estimée]:[Durée estimée4]])</f>
        <v>0</v>
      </c>
    </row>
    <row r="18" spans="1:14" x14ac:dyDescent="0.25">
      <c r="A18" s="4" t="str">
        <f>IF(ISBLANK(Tableau142527[[#This Row],[Description de la tâche]]),"",Tableau142527[[#This Row],[Description de la tâche]])</f>
        <v/>
      </c>
      <c r="B18" s="4" t="str">
        <f>IF(ISBLANK(Tableau142527[[#This Row],[Durée estimée]]),"",Tableau142527[[#This Row],[Durée estimée]])</f>
        <v/>
      </c>
      <c r="C18" s="4" t="str">
        <f>IF(ISBLANK(Tableau142527[[#This Row],[Durée estimée2]]),"",Tableau142527[[#This Row],[Durée estimée2]])</f>
        <v/>
      </c>
      <c r="D18" s="4" t="str">
        <f>IF(ISBLANK(Tableau142527[[#This Row],[Durée estimée3]]),"",Tableau142527[[#This Row],[Durée estimée3]])</f>
        <v/>
      </c>
      <c r="E18" s="4" t="str">
        <f>IF(ISBLANK(Tableau142527[[#This Row],[Durée estimée4]]),"",Tableau142527[[#This Row],[Durée estimée4]])</f>
        <v/>
      </c>
      <c r="F18" s="43">
        <f>SUM(Tableau132628[[#This Row],[Durée réelle en heures]:[Durée réelle en heures4]])</f>
        <v>0</v>
      </c>
      <c r="G18" s="12">
        <f>IF('Séance 5'!F18=0,0,IF('Séance 4'!F18=0,"Nouvelle tâche",(('Séance 5'!F18)/'Séance 4'!F18)))</f>
        <v>0</v>
      </c>
      <c r="I18" s="3"/>
      <c r="J18" s="43"/>
      <c r="K18" s="43"/>
      <c r="L18" s="43"/>
      <c r="M18" s="43"/>
      <c r="N18" s="4">
        <f>SUM(Tableau14252729[[#This Row],[Durée estimée]:[Durée estimée4]])</f>
        <v>0</v>
      </c>
    </row>
    <row r="19" spans="1:14" x14ac:dyDescent="0.25">
      <c r="A19" s="4" t="str">
        <f>IF(ISBLANK(Tableau142527[[#This Row],[Description de la tâche]]),"",Tableau142527[[#This Row],[Description de la tâche]])</f>
        <v/>
      </c>
      <c r="B19" s="4" t="str">
        <f>IF(ISBLANK(Tableau142527[[#This Row],[Durée estimée]]),"",Tableau142527[[#This Row],[Durée estimée]])</f>
        <v/>
      </c>
      <c r="C19" s="4" t="str">
        <f>IF(ISBLANK(Tableau142527[[#This Row],[Durée estimée2]]),"",Tableau142527[[#This Row],[Durée estimée2]])</f>
        <v/>
      </c>
      <c r="D19" s="4" t="str">
        <f>IF(ISBLANK(Tableau142527[[#This Row],[Durée estimée3]]),"",Tableau142527[[#This Row],[Durée estimée3]])</f>
        <v/>
      </c>
      <c r="E19" s="4" t="str">
        <f>IF(ISBLANK(Tableau142527[[#This Row],[Durée estimée4]]),"",Tableau142527[[#This Row],[Durée estimée4]])</f>
        <v/>
      </c>
      <c r="F19" s="43">
        <f>SUM(Tableau132628[[#This Row],[Durée réelle en heures]:[Durée réelle en heures4]])</f>
        <v>0</v>
      </c>
      <c r="G19" s="12">
        <f>IF('Séance 5'!F19=0,0,IF('Séance 4'!F19=0,"Nouvelle tâche",(('Séance 5'!F19)/'Séance 4'!F19)))</f>
        <v>0</v>
      </c>
      <c r="I19" s="3"/>
      <c r="J19" s="43"/>
      <c r="K19" s="43"/>
      <c r="L19" s="43"/>
      <c r="M19" s="43"/>
      <c r="N19" s="4">
        <f>SUM(Tableau14252729[[#This Row],[Durée estimée]:[Durée estimée4]])</f>
        <v>0</v>
      </c>
    </row>
    <row r="20" spans="1:14" x14ac:dyDescent="0.25">
      <c r="A20" s="4" t="str">
        <f>IF(ISBLANK(Tableau142527[[#This Row],[Description de la tâche]]),"",Tableau142527[[#This Row],[Description de la tâche]])</f>
        <v/>
      </c>
      <c r="B20" s="4" t="str">
        <f>IF(ISBLANK(Tableau142527[[#This Row],[Durée estimée]]),"",Tableau142527[[#This Row],[Durée estimée]])</f>
        <v/>
      </c>
      <c r="C20" s="4" t="str">
        <f>IF(ISBLANK(Tableau142527[[#This Row],[Durée estimée2]]),"",Tableau142527[[#This Row],[Durée estimée2]])</f>
        <v/>
      </c>
      <c r="D20" s="4" t="str">
        <f>IF(ISBLANK(Tableau142527[[#This Row],[Durée estimée3]]),"",Tableau142527[[#This Row],[Durée estimée3]])</f>
        <v/>
      </c>
      <c r="E20" s="4" t="str">
        <f>IF(ISBLANK(Tableau142527[[#This Row],[Durée estimée4]]),"",Tableau142527[[#This Row],[Durée estimée4]])</f>
        <v/>
      </c>
      <c r="F20" s="43">
        <f>SUM(Tableau132628[[#This Row],[Durée réelle en heures]:[Durée réelle en heures4]])</f>
        <v>0</v>
      </c>
      <c r="G20" s="12">
        <f>IF('Séance 5'!F20=0,0,IF('Séance 4'!F20=0,"Nouvelle tâche",(('Séance 5'!F20)/'Séance 4'!F20)))</f>
        <v>0</v>
      </c>
      <c r="I20" s="3"/>
      <c r="J20" s="43"/>
      <c r="K20" s="43"/>
      <c r="L20" s="43"/>
      <c r="M20" s="43"/>
      <c r="N20" s="4">
        <f>SUM(Tableau14252729[[#This Row],[Durée estimée]:[Durée estimée4]])</f>
        <v>0</v>
      </c>
    </row>
    <row r="21" spans="1:14" x14ac:dyDescent="0.25">
      <c r="A21" s="4" t="str">
        <f>IF(ISBLANK(Tableau142527[[#This Row],[Description de la tâche]]),"",Tableau142527[[#This Row],[Description de la tâche]])</f>
        <v/>
      </c>
      <c r="B21" s="4" t="str">
        <f>IF(ISBLANK(Tableau142527[[#This Row],[Durée estimée]]),"",Tableau142527[[#This Row],[Durée estimée]])</f>
        <v/>
      </c>
      <c r="C21" s="4" t="str">
        <f>IF(ISBLANK(Tableau142527[[#This Row],[Durée estimée2]]),"",Tableau142527[[#This Row],[Durée estimée2]])</f>
        <v/>
      </c>
      <c r="D21" s="4" t="str">
        <f>IF(ISBLANK(Tableau142527[[#This Row],[Durée estimée3]]),"",Tableau142527[[#This Row],[Durée estimée3]])</f>
        <v/>
      </c>
      <c r="E21" s="4" t="str">
        <f>IF(ISBLANK(Tableau142527[[#This Row],[Durée estimée4]]),"",Tableau142527[[#This Row],[Durée estimée4]])</f>
        <v/>
      </c>
      <c r="F21" s="43">
        <f>SUM(Tableau132628[[#This Row],[Durée réelle en heures]:[Durée réelle en heures4]])</f>
        <v>0</v>
      </c>
      <c r="G21" s="12">
        <f>IF('Séance 5'!F21=0,0,IF('Séance 4'!F21=0,"Nouvelle tâche",(('Séance 5'!F21)/'Séance 4'!F21)))</f>
        <v>0</v>
      </c>
      <c r="I21" s="3"/>
      <c r="J21" s="43"/>
      <c r="K21" s="43"/>
      <c r="L21" s="43"/>
      <c r="M21" s="43"/>
      <c r="N21" s="4">
        <f>SUM(Tableau14252729[[#This Row],[Durée estimée]:[Durée estimée4]])</f>
        <v>0</v>
      </c>
    </row>
    <row r="22" spans="1:14" x14ac:dyDescent="0.25">
      <c r="A22" s="4" t="str">
        <f>IF(ISBLANK(Tableau142527[[#This Row],[Description de la tâche]]),"",Tableau142527[[#This Row],[Description de la tâche]])</f>
        <v/>
      </c>
      <c r="B22" s="4" t="str">
        <f>IF(ISBLANK(Tableau142527[[#This Row],[Durée estimée]]),"",Tableau142527[[#This Row],[Durée estimée]])</f>
        <v/>
      </c>
      <c r="C22" s="4" t="str">
        <f>IF(ISBLANK(Tableau142527[[#This Row],[Durée estimée2]]),"",Tableau142527[[#This Row],[Durée estimée2]])</f>
        <v/>
      </c>
      <c r="D22" s="4" t="str">
        <f>IF(ISBLANK(Tableau142527[[#This Row],[Durée estimée3]]),"",Tableau142527[[#This Row],[Durée estimée3]])</f>
        <v/>
      </c>
      <c r="E22" s="4" t="str">
        <f>IF(ISBLANK(Tableau142527[[#This Row],[Durée estimée4]]),"",Tableau142527[[#This Row],[Durée estimée4]])</f>
        <v/>
      </c>
      <c r="F22" s="44">
        <f>SUM(Tableau132628[[#This Row],[Durée réelle en heures]:[Durée réelle en heures4]])</f>
        <v>0</v>
      </c>
      <c r="G22" s="12">
        <f>IF('Séance 5'!F22=0,0,IF('Séance 4'!F22=0,"Nouvelle tâche",(('Séance 5'!F22)/'Séance 4'!F22)))</f>
        <v>0</v>
      </c>
      <c r="I22" s="19"/>
      <c r="J22" s="44"/>
      <c r="K22" s="44"/>
      <c r="L22" s="44"/>
      <c r="M22" s="44"/>
      <c r="N22" s="4">
        <f>SUM(Tableau14252729[[#This Row],[Durée estimée]:[Durée estimée4]])</f>
        <v>0</v>
      </c>
    </row>
    <row r="23" spans="1:14" x14ac:dyDescent="0.25">
      <c r="A23" s="4" t="str">
        <f>IF(ISBLANK(Tableau142527[[#This Row],[Description de la tâche]]),"",Tableau142527[[#This Row],[Description de la tâche]])</f>
        <v/>
      </c>
      <c r="B23" s="4" t="str">
        <f>IF(ISBLANK(Tableau142527[[#This Row],[Durée estimée]]),"",Tableau142527[[#This Row],[Durée estimée]])</f>
        <v/>
      </c>
      <c r="C23" s="4" t="str">
        <f>IF(ISBLANK(Tableau142527[[#This Row],[Durée estimée2]]),"",Tableau142527[[#This Row],[Durée estimée2]])</f>
        <v/>
      </c>
      <c r="D23" s="4" t="str">
        <f>IF(ISBLANK(Tableau142527[[#This Row],[Durée estimée3]]),"",Tableau142527[[#This Row],[Durée estimée3]])</f>
        <v/>
      </c>
      <c r="E23" s="4" t="str">
        <f>IF(ISBLANK(Tableau142527[[#This Row],[Durée estimée4]]),"",Tableau142527[[#This Row],[Durée estimée4]])</f>
        <v/>
      </c>
      <c r="F23" s="43">
        <f>SUM(Tableau132628[[#This Row],[Durée réelle en heures]:[Durée réelle en heures4]])</f>
        <v>0</v>
      </c>
      <c r="G23" s="12">
        <f>IF('Séance 5'!F23=0,0,IF('Séance 4'!F23=0,"Nouvelle tâche",(('Séance 5'!F23)/'Séance 4'!F23)))</f>
        <v>0</v>
      </c>
      <c r="I23" s="3"/>
      <c r="J23" s="43"/>
      <c r="K23" s="43"/>
      <c r="L23" s="43"/>
      <c r="M23" s="43"/>
      <c r="N23" s="4">
        <f>SUM(Tableau14252729[[#This Row],[Durée estimée]:[Durée estimée4]])</f>
        <v>0</v>
      </c>
    </row>
    <row r="24" spans="1:14" x14ac:dyDescent="0.25">
      <c r="A24" s="4" t="str">
        <f>IF(ISBLANK(Tableau142527[[#This Row],[Description de la tâche]]),"",Tableau142527[[#This Row],[Description de la tâche]])</f>
        <v/>
      </c>
      <c r="B24" s="4" t="str">
        <f>IF(ISBLANK(Tableau142527[[#This Row],[Durée estimée]]),"",Tableau142527[[#This Row],[Durée estimée]])</f>
        <v/>
      </c>
      <c r="C24" s="4" t="str">
        <f>IF(ISBLANK(Tableau142527[[#This Row],[Durée estimée2]]),"",Tableau142527[[#This Row],[Durée estimée2]])</f>
        <v/>
      </c>
      <c r="D24" s="4" t="str">
        <f>IF(ISBLANK(Tableau142527[[#This Row],[Durée estimée3]]),"",Tableau142527[[#This Row],[Durée estimée3]])</f>
        <v/>
      </c>
      <c r="E24" s="4" t="str">
        <f>IF(ISBLANK(Tableau142527[[#This Row],[Durée estimée4]]),"",Tableau142527[[#This Row],[Durée estimée4]])</f>
        <v/>
      </c>
      <c r="F24" s="43">
        <f>SUM(Tableau132628[[#This Row],[Durée réelle en heures]:[Durée réelle en heures4]])</f>
        <v>0</v>
      </c>
      <c r="G24" s="12">
        <f>IF('Séance 5'!F24=0,0,IF('Séance 4'!F25=0,"Nouvelle tâche",(('Séance 5'!F24)/'Séance 4'!F25)))</f>
        <v>0</v>
      </c>
      <c r="I24" s="3"/>
      <c r="J24" s="43"/>
      <c r="K24" s="43"/>
      <c r="L24" s="43"/>
      <c r="M24" s="43"/>
      <c r="N24" s="4">
        <f>SUM(Tableau14252729[[#This Row],[Durée estimée]:[Durée estimée4]])</f>
        <v>0</v>
      </c>
    </row>
    <row r="25" spans="1:14" ht="15.75" thickBot="1" x14ac:dyDescent="0.3">
      <c r="A25" s="4" t="str">
        <f>IF(ISBLANK(Tableau142527[[#This Row],[Description de la tâche]]),"",Tableau142527[[#This Row],[Description de la tâche]])</f>
        <v/>
      </c>
      <c r="B25" s="4" t="str">
        <f>IF(ISBLANK(Tableau142527[[#This Row],[Durée estimée]]),"",Tableau142527[[#This Row],[Durée estimée]])</f>
        <v/>
      </c>
      <c r="C25" s="4" t="str">
        <f>IF(ISBLANK(Tableau142527[[#This Row],[Durée estimée2]]),"",Tableau142527[[#This Row],[Durée estimée2]])</f>
        <v/>
      </c>
      <c r="D25" s="4" t="str">
        <f>IF(ISBLANK(Tableau142527[[#This Row],[Durée estimée3]]),"",Tableau142527[[#This Row],[Durée estimée3]])</f>
        <v/>
      </c>
      <c r="E25" s="4" t="str">
        <f>IF(ISBLANK(Tableau142527[[#This Row],[Durée estimée4]]),"",Tableau142527[[#This Row],[Durée estimée4]])</f>
        <v/>
      </c>
      <c r="F25" s="44">
        <f>SUM(Tableau132628[[#This Row],[Durée réelle en heures]:[Durée réelle en heures4]])</f>
        <v>0</v>
      </c>
      <c r="G25" s="12">
        <f>IF('Séance 5'!F25=0,0,IF('Séance 4'!F26=0,"Nouvelle tâche",(('Séance 5'!F25)/'Séance 4'!F26)))</f>
        <v>0</v>
      </c>
      <c r="I25" s="19"/>
      <c r="J25" s="44"/>
      <c r="K25" s="44"/>
      <c r="L25" s="44"/>
      <c r="M25" s="44"/>
      <c r="N25" s="4">
        <f>SUM(Tableau14252729[[#This Row],[Durée estimée]:[Durée estimée4]])</f>
        <v>0</v>
      </c>
    </row>
    <row r="26" spans="1:14" x14ac:dyDescent="0.25">
      <c r="A26" s="62" t="s">
        <v>13</v>
      </c>
      <c r="B26" s="63">
        <f>SUM(B3:B25)</f>
        <v>0</v>
      </c>
      <c r="C26" s="63">
        <f>SUM(C3:C25)</f>
        <v>0</v>
      </c>
      <c r="D26" s="63">
        <f>SUM(D3:D25)</f>
        <v>0</v>
      </c>
      <c r="E26" s="63">
        <f>SUM(E3:E25)</f>
        <v>0</v>
      </c>
      <c r="F26" s="48">
        <f>SUM(F3:F25)</f>
        <v>0</v>
      </c>
      <c r="G26" s="20">
        <f>SUM(Tableau132628[[#This Row],[Durée réelle en heures]:[Total réel]])</f>
        <v>0</v>
      </c>
      <c r="I26" s="16" t="s">
        <v>18</v>
      </c>
      <c r="J26" s="45">
        <f>SUM(J3:J25)</f>
        <v>0</v>
      </c>
      <c r="K26" s="45">
        <f>SUM(K3:K25)</f>
        <v>0</v>
      </c>
      <c r="L26" s="45">
        <f>SUM(L3:L25)</f>
        <v>0</v>
      </c>
      <c r="M26" s="45">
        <f>SUM(M3:M25)</f>
        <v>0</v>
      </c>
      <c r="N26" s="21">
        <f>SUM(N3:N25)</f>
        <v>0</v>
      </c>
    </row>
    <row r="27" spans="1:14" ht="27" thickBot="1" x14ac:dyDescent="0.3">
      <c r="A27" s="13" t="s">
        <v>14</v>
      </c>
      <c r="B27" s="50" t="str">
        <f>IF($G$26=0,"Non renseigné",B26/$G$26*100)</f>
        <v>Non renseigné</v>
      </c>
      <c r="C27" s="50" t="str">
        <f>IF($G$26=0,"Non renseigné",C26/$G$26*100)</f>
        <v>Non renseigné</v>
      </c>
      <c r="D27" s="50" t="str">
        <f>IF($G$26=0,"Non renseigné",D26/$G$26*100)</f>
        <v>Non renseigné</v>
      </c>
      <c r="E27" s="50" t="str">
        <f>IF($G$26=0,"Non renseigné",E26/$G$26*100)</f>
        <v>Non renseigné</v>
      </c>
      <c r="F27" s="47">
        <f>SUM(Tableau132628[[#This Row],[Durée réelle en heures]:[Durée réelle en heures4]])</f>
        <v>0</v>
      </c>
      <c r="G27" s="14">
        <f>SUM(Tableau132628[[#This Row],[Durée réelle en heures]:[Total réel]])</f>
        <v>0</v>
      </c>
      <c r="H27" s="1"/>
      <c r="I27" s="22" t="s">
        <v>19</v>
      </c>
      <c r="J27" s="46" t="str">
        <f>IF($N$26=0,"Non renseigné",J26/$N$26*100)</f>
        <v>Non renseigné</v>
      </c>
      <c r="K27" s="46" t="str">
        <f>IF($N$26=0,"Non renseigné",K26/$N$26*100)</f>
        <v>Non renseigné</v>
      </c>
      <c r="L27" s="46" t="str">
        <f t="shared" ref="L27:M27" si="0">IF($N$26=0,"Non renseigné",L26/$N$26*100)</f>
        <v>Non renseigné</v>
      </c>
      <c r="M27" s="46" t="str">
        <f t="shared" si="0"/>
        <v>Non renseigné</v>
      </c>
      <c r="N27" s="23">
        <f>SUM(Tableau14252729[[#This Row],[Durée estimée]:[Durée estimée4]])</f>
        <v>0</v>
      </c>
    </row>
    <row r="28" spans="1:14" x14ac:dyDescent="0.25">
      <c r="A28" s="1"/>
      <c r="C28" s="1"/>
      <c r="D28" s="1"/>
      <c r="E28" s="1"/>
      <c r="F28" s="1"/>
      <c r="G28" s="1"/>
      <c r="H28" s="1"/>
    </row>
    <row r="29" spans="1:14" x14ac:dyDescent="0.25">
      <c r="A29" s="1"/>
      <c r="C29" s="1"/>
      <c r="D29" s="1"/>
      <c r="E29" s="1"/>
      <c r="F29" s="1"/>
      <c r="G29" s="1"/>
      <c r="H29" s="1"/>
    </row>
    <row r="30" spans="1:14" x14ac:dyDescent="0.25">
      <c r="A30" s="1"/>
      <c r="C30" s="1"/>
      <c r="D30" s="1"/>
      <c r="E30" s="1"/>
      <c r="F30" s="1"/>
      <c r="G30" s="1"/>
    </row>
    <row r="36" spans="1:8" x14ac:dyDescent="0.25">
      <c r="H36" s="1"/>
    </row>
    <row r="37" spans="1:8" x14ac:dyDescent="0.25">
      <c r="A37" s="1"/>
      <c r="C37" s="1"/>
      <c r="D37" s="1"/>
      <c r="E37" s="1"/>
      <c r="F37" s="1"/>
      <c r="G37" s="1"/>
    </row>
  </sheetData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72B29-068A-4830-A8C5-E50436C8D4C7}">
  <dimension ref="A1:N36"/>
  <sheetViews>
    <sheetView zoomScale="85" zoomScaleNormal="85" workbookViewId="0">
      <selection activeCell="I4" sqref="I4"/>
    </sheetView>
  </sheetViews>
  <sheetFormatPr baseColWidth="10" defaultRowHeight="15" x14ac:dyDescent="0.25"/>
  <cols>
    <col min="1" max="1" width="22.7109375" customWidth="1"/>
    <col min="2" max="2" width="13" customWidth="1"/>
    <col min="9" max="9" width="24.42578125" customWidth="1"/>
    <col min="11" max="11" width="13.140625" customWidth="1"/>
  </cols>
  <sheetData>
    <row r="1" spans="1:14" ht="26.25" x14ac:dyDescent="0.25">
      <c r="A1" s="7" t="s">
        <v>16</v>
      </c>
      <c r="B1" s="8" t="str">
        <f>Synthèse!D2</f>
        <v>Nom1</v>
      </c>
      <c r="C1" s="8" t="str">
        <f>Synthèse!D3</f>
        <v>Nom2</v>
      </c>
      <c r="D1" s="8" t="str">
        <f>Synthèse!D4</f>
        <v>Nom3</v>
      </c>
      <c r="E1" s="8" t="str">
        <f>Synthèse!D5</f>
        <v>Nom4</v>
      </c>
      <c r="F1" s="8"/>
      <c r="G1" s="9"/>
      <c r="I1" s="16" t="s">
        <v>17</v>
      </c>
      <c r="J1" s="17" t="str">
        <f>Synthèse!$D2</f>
        <v>Nom1</v>
      </c>
      <c r="K1" s="17" t="str">
        <f>Synthèse!$D3</f>
        <v>Nom2</v>
      </c>
      <c r="L1" s="17" t="str">
        <f>Synthèse!$D4</f>
        <v>Nom3</v>
      </c>
      <c r="M1" s="17" t="str">
        <f>Synthèse!$D5</f>
        <v>Nom4</v>
      </c>
      <c r="N1" s="17"/>
    </row>
    <row r="2" spans="1:14" ht="51.75" x14ac:dyDescent="0.25">
      <c r="A2" s="10" t="s">
        <v>38</v>
      </c>
      <c r="B2" s="6" t="s">
        <v>39</v>
      </c>
      <c r="C2" s="6" t="s">
        <v>40</v>
      </c>
      <c r="D2" s="6" t="s">
        <v>41</v>
      </c>
      <c r="E2" s="6" t="s">
        <v>42</v>
      </c>
      <c r="F2" s="6" t="s">
        <v>36</v>
      </c>
      <c r="G2" s="11" t="s">
        <v>37</v>
      </c>
      <c r="I2" s="18" t="s">
        <v>38</v>
      </c>
      <c r="J2" s="15" t="s">
        <v>32</v>
      </c>
      <c r="K2" s="15" t="s">
        <v>33</v>
      </c>
      <c r="L2" s="15" t="s">
        <v>34</v>
      </c>
      <c r="M2" s="15" t="s">
        <v>35</v>
      </c>
      <c r="N2" s="15" t="s">
        <v>2</v>
      </c>
    </row>
    <row r="3" spans="1:14" x14ac:dyDescent="0.25">
      <c r="A3" s="4" t="str">
        <f>IF(ISBLANK(Tableau1425272912[[#This Row],[Description de la tâche]]),"",Tableau1425272912[[#This Row],[Description de la tâche]])</f>
        <v/>
      </c>
      <c r="B3" s="4" t="str">
        <f>IF(ISBLANK(Tableau1425272912[[#This Row],[Durée estimée]]),"",Tableau1425272912[[#This Row],[Durée estimée]])</f>
        <v/>
      </c>
      <c r="C3" s="4" t="str">
        <f>IF(ISBLANK(Tableau1425272912[[#This Row],[Durée estimée2]]),"",Tableau1425272912[[#This Row],[Durée estimée2]])</f>
        <v/>
      </c>
      <c r="D3" s="4" t="str">
        <f>IF(ISBLANK(Tableau1425272912[[#This Row],[Durée estimée3]]),"",Tableau1425272912[[#This Row],[Durée estimée3]])</f>
        <v/>
      </c>
      <c r="E3" s="4" t="str">
        <f>IF(ISBLANK(Tableau1425272912[[#This Row],[Durée estimée4]]),"",Tableau1425272912[[#This Row],[Durée estimée4]])</f>
        <v/>
      </c>
      <c r="F3" s="43">
        <f>SUM(Tableau13262811[[#This Row],[Durée réelle en heures]:[Durée réelle en heures4]])</f>
        <v>0</v>
      </c>
      <c r="G3" s="12">
        <f>IF('Séance 5'!F3=0,0,IF('Séance 4'!F3=0,"Nouvelle tâche",(('Séance 5'!F3)/'Séance 4'!F3)))</f>
        <v>0</v>
      </c>
      <c r="I3" s="3"/>
      <c r="J3" s="43"/>
      <c r="K3" s="43"/>
      <c r="L3" s="43"/>
      <c r="M3" s="43"/>
      <c r="N3" s="4">
        <f>SUM(Tableau1425272912[[#This Row],[Durée estimée]:[Durée estimée4]])</f>
        <v>0</v>
      </c>
    </row>
    <row r="4" spans="1:14" x14ac:dyDescent="0.25">
      <c r="A4" s="4" t="str">
        <f>IF(ISBLANK(Tableau1425272912[[#This Row],[Description de la tâche]]),"",Tableau1425272912[[#This Row],[Description de la tâche]])</f>
        <v/>
      </c>
      <c r="B4" s="4" t="str">
        <f>IF(ISBLANK(Tableau1425272912[[#This Row],[Durée estimée]]),"",Tableau1425272912[[#This Row],[Durée estimée]])</f>
        <v/>
      </c>
      <c r="C4" s="4" t="str">
        <f>IF(ISBLANK(Tableau1425272912[[#This Row],[Durée estimée2]]),"",Tableau1425272912[[#This Row],[Durée estimée2]])</f>
        <v/>
      </c>
      <c r="D4" s="4" t="str">
        <f>IF(ISBLANK(Tableau1425272912[[#This Row],[Durée estimée3]]),"",Tableau1425272912[[#This Row],[Durée estimée3]])</f>
        <v/>
      </c>
      <c r="E4" s="4" t="str">
        <f>IF(ISBLANK(Tableau1425272912[[#This Row],[Durée estimée4]]),"",Tableau1425272912[[#This Row],[Durée estimée4]])</f>
        <v/>
      </c>
      <c r="F4" s="43">
        <f>SUM(Tableau13262811[[#This Row],[Durée réelle en heures]:[Durée réelle en heures4]])</f>
        <v>0</v>
      </c>
      <c r="G4" s="12">
        <f>IF('Séance 5'!F4=0,0,IF('Séance 4'!F4=0,"Nouvelle tâche",(('Séance 5'!F4)/'Séance 4'!F4)))</f>
        <v>0</v>
      </c>
      <c r="I4" s="3"/>
      <c r="J4" s="43"/>
      <c r="K4" s="43"/>
      <c r="L4" s="43"/>
      <c r="M4" s="43"/>
      <c r="N4" s="4">
        <f>SUM(Tableau1425272912[[#This Row],[Durée estimée]:[Durée estimée4]])</f>
        <v>0</v>
      </c>
    </row>
    <row r="5" spans="1:14" x14ac:dyDescent="0.25">
      <c r="A5" s="4" t="str">
        <f>IF(ISBLANK(Tableau1425272912[[#This Row],[Description de la tâche]]),"",Tableau1425272912[[#This Row],[Description de la tâche]])</f>
        <v/>
      </c>
      <c r="B5" s="4" t="str">
        <f>IF(ISBLANK(Tableau1425272912[[#This Row],[Durée estimée]]),"",Tableau1425272912[[#This Row],[Durée estimée]])</f>
        <v/>
      </c>
      <c r="C5" s="4" t="str">
        <f>IF(ISBLANK(Tableau1425272912[[#This Row],[Durée estimée2]]),"",Tableau1425272912[[#This Row],[Durée estimée2]])</f>
        <v/>
      </c>
      <c r="D5" s="4" t="str">
        <f>IF(ISBLANK(Tableau1425272912[[#This Row],[Durée estimée3]]),"",Tableau1425272912[[#This Row],[Durée estimée3]])</f>
        <v/>
      </c>
      <c r="E5" s="4" t="str">
        <f>IF(ISBLANK(Tableau1425272912[[#This Row],[Durée estimée4]]),"",Tableau1425272912[[#This Row],[Durée estimée4]])</f>
        <v/>
      </c>
      <c r="F5" s="43">
        <f>SUM(Tableau13262811[[#This Row],[Durée réelle en heures]:[Durée réelle en heures4]])</f>
        <v>0</v>
      </c>
      <c r="G5" s="12">
        <f>IF('Séance 5'!F5=0,0,IF('Séance 4'!F5=0,"Nouvelle tâche",(('Séance 5'!F5)/'Séance 4'!F5)))</f>
        <v>0</v>
      </c>
      <c r="I5" s="3"/>
      <c r="J5" s="43"/>
      <c r="K5" s="43"/>
      <c r="L5" s="43"/>
      <c r="M5" s="43"/>
      <c r="N5" s="4">
        <f>SUM(Tableau1425272912[[#This Row],[Durée estimée]:[Durée estimée4]])</f>
        <v>0</v>
      </c>
    </row>
    <row r="6" spans="1:14" x14ac:dyDescent="0.25">
      <c r="A6" s="4" t="str">
        <f>IF(ISBLANK(Tableau1425272912[[#This Row],[Description de la tâche]]),"",Tableau1425272912[[#This Row],[Description de la tâche]])</f>
        <v/>
      </c>
      <c r="B6" s="4" t="str">
        <f>IF(ISBLANK(Tableau1425272912[[#This Row],[Durée estimée]]),"",Tableau1425272912[[#This Row],[Durée estimée]])</f>
        <v/>
      </c>
      <c r="C6" s="4" t="str">
        <f>IF(ISBLANK(Tableau1425272912[[#This Row],[Durée estimée2]]),"",Tableau1425272912[[#This Row],[Durée estimée2]])</f>
        <v/>
      </c>
      <c r="D6" s="4" t="str">
        <f>IF(ISBLANK(Tableau1425272912[[#This Row],[Durée estimée3]]),"",Tableau1425272912[[#This Row],[Durée estimée3]])</f>
        <v/>
      </c>
      <c r="E6" s="4" t="str">
        <f>IF(ISBLANK(Tableau1425272912[[#This Row],[Durée estimée4]]),"",Tableau1425272912[[#This Row],[Durée estimée4]])</f>
        <v/>
      </c>
      <c r="F6" s="43">
        <f>SUM(Tableau13262811[[#This Row],[Durée réelle en heures]:[Durée réelle en heures4]])</f>
        <v>0</v>
      </c>
      <c r="G6" s="12">
        <f>IF('Séance 5'!F6=0,0,IF('Séance 4'!F6=0,"Nouvelle tâche",(('Séance 5'!F6)/'Séance 4'!F6)))</f>
        <v>0</v>
      </c>
      <c r="I6" s="3"/>
      <c r="J6" s="43"/>
      <c r="K6" s="43"/>
      <c r="L6" s="43"/>
      <c r="M6" s="43"/>
      <c r="N6" s="4">
        <f>SUM(Tableau1425272912[[#This Row],[Durée estimée]:[Durée estimée4]])</f>
        <v>0</v>
      </c>
    </row>
    <row r="7" spans="1:14" x14ac:dyDescent="0.25">
      <c r="A7" s="4" t="str">
        <f>IF(ISBLANK(Tableau1425272912[[#This Row],[Description de la tâche]]),"",Tableau1425272912[[#This Row],[Description de la tâche]])</f>
        <v/>
      </c>
      <c r="B7" s="4" t="str">
        <f>IF(ISBLANK(Tableau1425272912[[#This Row],[Durée estimée]]),"",Tableau1425272912[[#This Row],[Durée estimée]])</f>
        <v/>
      </c>
      <c r="C7" s="4" t="str">
        <f>IF(ISBLANK(Tableau1425272912[[#This Row],[Durée estimée2]]),"",Tableau1425272912[[#This Row],[Durée estimée2]])</f>
        <v/>
      </c>
      <c r="D7" s="4" t="str">
        <f>IF(ISBLANK(Tableau1425272912[[#This Row],[Durée estimée3]]),"",Tableau1425272912[[#This Row],[Durée estimée3]])</f>
        <v/>
      </c>
      <c r="E7" s="4" t="str">
        <f>IF(ISBLANK(Tableau1425272912[[#This Row],[Durée estimée4]]),"",Tableau1425272912[[#This Row],[Durée estimée4]])</f>
        <v/>
      </c>
      <c r="F7" s="43">
        <f>SUM(Tableau13262811[[#This Row],[Durée réelle en heures]:[Durée réelle en heures4]])</f>
        <v>0</v>
      </c>
      <c r="G7" s="12">
        <f>IF('Séance 5'!F7=0,0,IF('Séance 4'!F7=0,"Nouvelle tâche",(('Séance 5'!F7)/'Séance 4'!F7)))</f>
        <v>0</v>
      </c>
      <c r="I7" s="3"/>
      <c r="J7" s="43"/>
      <c r="K7" s="43"/>
      <c r="L7" s="43"/>
      <c r="M7" s="43"/>
      <c r="N7" s="4">
        <f>SUM(Tableau1425272912[[#This Row],[Durée estimée]:[Durée estimée4]])</f>
        <v>0</v>
      </c>
    </row>
    <row r="8" spans="1:14" x14ac:dyDescent="0.25">
      <c r="A8" s="4" t="str">
        <f>IF(ISBLANK(Tableau1425272912[[#This Row],[Description de la tâche]]),"",Tableau1425272912[[#This Row],[Description de la tâche]])</f>
        <v/>
      </c>
      <c r="B8" s="4" t="str">
        <f>IF(ISBLANK(Tableau1425272912[[#This Row],[Durée estimée]]),"",Tableau1425272912[[#This Row],[Durée estimée]])</f>
        <v/>
      </c>
      <c r="C8" s="4" t="str">
        <f>IF(ISBLANK(Tableau1425272912[[#This Row],[Durée estimée2]]),"",Tableau1425272912[[#This Row],[Durée estimée2]])</f>
        <v/>
      </c>
      <c r="D8" s="4" t="str">
        <f>IF(ISBLANK(Tableau1425272912[[#This Row],[Durée estimée3]]),"",Tableau1425272912[[#This Row],[Durée estimée3]])</f>
        <v/>
      </c>
      <c r="E8" s="4" t="str">
        <f>IF(ISBLANK(Tableau1425272912[[#This Row],[Durée estimée4]]),"",Tableau1425272912[[#This Row],[Durée estimée4]])</f>
        <v/>
      </c>
      <c r="F8" s="43">
        <f>SUM(Tableau13262811[[#This Row],[Durée réelle en heures]:[Durée réelle en heures4]])</f>
        <v>0</v>
      </c>
      <c r="G8" s="12">
        <f>IF('Séance 5'!F8=0,0,IF('Séance 4'!F8=0,"Nouvelle tâche",(('Séance 5'!F8)/'Séance 4'!F8)))</f>
        <v>0</v>
      </c>
      <c r="I8" s="3"/>
      <c r="J8" s="43"/>
      <c r="K8" s="43"/>
      <c r="L8" s="43"/>
      <c r="M8" s="43"/>
      <c r="N8" s="4">
        <f>SUM(Tableau1425272912[[#This Row],[Durée estimée]:[Durée estimée4]])</f>
        <v>0</v>
      </c>
    </row>
    <row r="9" spans="1:14" x14ac:dyDescent="0.25">
      <c r="A9" s="4" t="str">
        <f>IF(ISBLANK(Tableau1425272912[[#This Row],[Description de la tâche]]),"",Tableau1425272912[[#This Row],[Description de la tâche]])</f>
        <v/>
      </c>
      <c r="B9" s="4" t="str">
        <f>IF(ISBLANK(Tableau1425272912[[#This Row],[Durée estimée]]),"",Tableau1425272912[[#This Row],[Durée estimée]])</f>
        <v/>
      </c>
      <c r="C9" s="4" t="str">
        <f>IF(ISBLANK(Tableau1425272912[[#This Row],[Durée estimée2]]),"",Tableau1425272912[[#This Row],[Durée estimée2]])</f>
        <v/>
      </c>
      <c r="D9" s="4" t="str">
        <f>IF(ISBLANK(Tableau1425272912[[#This Row],[Durée estimée3]]),"",Tableau1425272912[[#This Row],[Durée estimée3]])</f>
        <v/>
      </c>
      <c r="E9" s="4" t="str">
        <f>IF(ISBLANK(Tableau1425272912[[#This Row],[Durée estimée4]]),"",Tableau1425272912[[#This Row],[Durée estimée4]])</f>
        <v/>
      </c>
      <c r="F9" s="43">
        <f>SUM(Tableau13262811[[#This Row],[Durée réelle en heures]:[Durée réelle en heures4]])</f>
        <v>0</v>
      </c>
      <c r="G9" s="12">
        <f>IF('Séance 5'!F9=0,0,IF('Séance 4'!F9=0,"Nouvelle tâche",(('Séance 5'!F9)/'Séance 4'!F9)))</f>
        <v>0</v>
      </c>
      <c r="I9" s="3"/>
      <c r="J9" s="43"/>
      <c r="K9" s="43"/>
      <c r="L9" s="43"/>
      <c r="M9" s="43"/>
      <c r="N9" s="4">
        <f>SUM(Tableau1425272912[[#This Row],[Durée estimée]:[Durée estimée4]])</f>
        <v>0</v>
      </c>
    </row>
    <row r="10" spans="1:14" x14ac:dyDescent="0.25">
      <c r="A10" s="4" t="str">
        <f>IF(ISBLANK(Tableau1425272912[[#This Row],[Description de la tâche]]),"",Tableau1425272912[[#This Row],[Description de la tâche]])</f>
        <v/>
      </c>
      <c r="B10" s="4" t="str">
        <f>IF(ISBLANK(Tableau1425272912[[#This Row],[Durée estimée]]),"",Tableau1425272912[[#This Row],[Durée estimée]])</f>
        <v/>
      </c>
      <c r="C10" s="4" t="str">
        <f>IF(ISBLANK(Tableau1425272912[[#This Row],[Durée estimée2]]),"",Tableau1425272912[[#This Row],[Durée estimée2]])</f>
        <v/>
      </c>
      <c r="D10" s="4" t="str">
        <f>IF(ISBLANK(Tableau1425272912[[#This Row],[Durée estimée3]]),"",Tableau1425272912[[#This Row],[Durée estimée3]])</f>
        <v/>
      </c>
      <c r="E10" s="4" t="str">
        <f>IF(ISBLANK(Tableau1425272912[[#This Row],[Durée estimée4]]),"",Tableau1425272912[[#This Row],[Durée estimée4]])</f>
        <v/>
      </c>
      <c r="F10" s="43">
        <f>SUM(Tableau13262811[[#This Row],[Durée réelle en heures]:[Durée réelle en heures4]])</f>
        <v>0</v>
      </c>
      <c r="G10" s="12">
        <f>IF('Séance 5'!F10=0,0,IF('Séance 4'!F10=0,"Nouvelle tâche",(('Séance 5'!F10)/'Séance 4'!F10)))</f>
        <v>0</v>
      </c>
      <c r="I10" s="3"/>
      <c r="J10" s="43"/>
      <c r="K10" s="43"/>
      <c r="L10" s="43"/>
      <c r="M10" s="43"/>
      <c r="N10" s="4">
        <f>SUM(Tableau1425272912[[#This Row],[Durée estimée]:[Durée estimée4]])</f>
        <v>0</v>
      </c>
    </row>
    <row r="11" spans="1:14" x14ac:dyDescent="0.25">
      <c r="A11" s="4" t="str">
        <f>IF(ISBLANK(Tableau1425272912[[#This Row],[Description de la tâche]]),"",Tableau1425272912[[#This Row],[Description de la tâche]])</f>
        <v/>
      </c>
      <c r="B11" s="4" t="str">
        <f>IF(ISBLANK(Tableau1425272912[[#This Row],[Durée estimée]]),"",Tableau1425272912[[#This Row],[Durée estimée]])</f>
        <v/>
      </c>
      <c r="C11" s="4" t="str">
        <f>IF(ISBLANK(Tableau1425272912[[#This Row],[Durée estimée2]]),"",Tableau1425272912[[#This Row],[Durée estimée2]])</f>
        <v/>
      </c>
      <c r="D11" s="4" t="str">
        <f>IF(ISBLANK(Tableau1425272912[[#This Row],[Durée estimée3]]),"",Tableau1425272912[[#This Row],[Durée estimée3]])</f>
        <v/>
      </c>
      <c r="E11" s="4" t="str">
        <f>IF(ISBLANK(Tableau1425272912[[#This Row],[Durée estimée4]]),"",Tableau1425272912[[#This Row],[Durée estimée4]])</f>
        <v/>
      </c>
      <c r="F11" s="43">
        <f>SUM(Tableau13262811[[#This Row],[Durée réelle en heures]:[Durée réelle en heures4]])</f>
        <v>0</v>
      </c>
      <c r="G11" s="12">
        <f>IF('Séance 5'!F11=0,0,IF('Séance 4'!F11=0,"Nouvelle tâche",(('Séance 5'!F11)/'Séance 4'!F11)))</f>
        <v>0</v>
      </c>
      <c r="I11" s="3"/>
      <c r="J11" s="43"/>
      <c r="K11" s="43"/>
      <c r="L11" s="43"/>
      <c r="M11" s="43"/>
      <c r="N11" s="4">
        <f>SUM(Tableau1425272912[[#This Row],[Durée estimée]:[Durée estimée4]])</f>
        <v>0</v>
      </c>
    </row>
    <row r="12" spans="1:14" x14ac:dyDescent="0.25">
      <c r="A12" s="4" t="str">
        <f>IF(ISBLANK(Tableau1425272912[[#This Row],[Description de la tâche]]),"",Tableau1425272912[[#This Row],[Description de la tâche]])</f>
        <v/>
      </c>
      <c r="B12" s="4" t="str">
        <f>IF(ISBLANK(Tableau1425272912[[#This Row],[Durée estimée]]),"",Tableau1425272912[[#This Row],[Durée estimée]])</f>
        <v/>
      </c>
      <c r="C12" s="4" t="str">
        <f>IF(ISBLANK(Tableau1425272912[[#This Row],[Durée estimée2]]),"",Tableau1425272912[[#This Row],[Durée estimée2]])</f>
        <v/>
      </c>
      <c r="D12" s="4" t="str">
        <f>IF(ISBLANK(Tableau1425272912[[#This Row],[Durée estimée3]]),"",Tableau1425272912[[#This Row],[Durée estimée3]])</f>
        <v/>
      </c>
      <c r="E12" s="4" t="str">
        <f>IF(ISBLANK(Tableau1425272912[[#This Row],[Durée estimée4]]),"",Tableau1425272912[[#This Row],[Durée estimée4]])</f>
        <v/>
      </c>
      <c r="F12" s="43">
        <f>SUM(Tableau13262811[[#This Row],[Durée réelle en heures]:[Durée réelle en heures4]])</f>
        <v>0</v>
      </c>
      <c r="G12" s="12">
        <f>IF('Séance 5'!F12=0,0,IF('Séance 4'!F12=0,"Nouvelle tâche",(('Séance 5'!F12)/'Séance 4'!F12)))</f>
        <v>0</v>
      </c>
      <c r="I12" s="3"/>
      <c r="J12" s="43"/>
      <c r="K12" s="43"/>
      <c r="L12" s="43"/>
      <c r="M12" s="43"/>
      <c r="N12" s="4">
        <f>SUM(Tableau1425272912[[#This Row],[Durée estimée]:[Durée estimée4]])</f>
        <v>0</v>
      </c>
    </row>
    <row r="13" spans="1:14" x14ac:dyDescent="0.25">
      <c r="A13" s="4" t="str">
        <f>IF(ISBLANK(Tableau1425272912[[#This Row],[Description de la tâche]]),"",Tableau1425272912[[#This Row],[Description de la tâche]])</f>
        <v/>
      </c>
      <c r="B13" s="4" t="str">
        <f>IF(ISBLANK(Tableau1425272912[[#This Row],[Durée estimée]]),"",Tableau1425272912[[#This Row],[Durée estimée]])</f>
        <v/>
      </c>
      <c r="C13" s="4" t="str">
        <f>IF(ISBLANK(Tableau1425272912[[#This Row],[Durée estimée2]]),"",Tableau1425272912[[#This Row],[Durée estimée2]])</f>
        <v/>
      </c>
      <c r="D13" s="4" t="str">
        <f>IF(ISBLANK(Tableau1425272912[[#This Row],[Durée estimée3]]),"",Tableau1425272912[[#This Row],[Durée estimée3]])</f>
        <v/>
      </c>
      <c r="E13" s="4" t="str">
        <f>IF(ISBLANK(Tableau1425272912[[#This Row],[Durée estimée4]]),"",Tableau1425272912[[#This Row],[Durée estimée4]])</f>
        <v/>
      </c>
      <c r="F13" s="43">
        <f>SUM(Tableau13262811[[#This Row],[Durée réelle en heures]:[Durée réelle en heures4]])</f>
        <v>0</v>
      </c>
      <c r="G13" s="12">
        <f>IF('Séance 5'!F13=0,0,IF('Séance 4'!F13=0,"Nouvelle tâche",(('Séance 5'!F13)/'Séance 4'!F13)))</f>
        <v>0</v>
      </c>
      <c r="I13" s="3"/>
      <c r="J13" s="43"/>
      <c r="K13" s="43"/>
      <c r="L13" s="43"/>
      <c r="M13" s="43"/>
      <c r="N13" s="4">
        <f>SUM(Tableau1425272912[[#This Row],[Durée estimée]:[Durée estimée4]])</f>
        <v>0</v>
      </c>
    </row>
    <row r="14" spans="1:14" x14ac:dyDescent="0.25">
      <c r="A14" s="4" t="str">
        <f>IF(ISBLANK(Tableau1425272912[[#This Row],[Description de la tâche]]),"",Tableau1425272912[[#This Row],[Description de la tâche]])</f>
        <v/>
      </c>
      <c r="B14" s="4" t="str">
        <f>IF(ISBLANK(Tableau1425272912[[#This Row],[Durée estimée]]),"",Tableau1425272912[[#This Row],[Durée estimée]])</f>
        <v/>
      </c>
      <c r="C14" s="4" t="str">
        <f>IF(ISBLANK(Tableau1425272912[[#This Row],[Durée estimée2]]),"",Tableau1425272912[[#This Row],[Durée estimée2]])</f>
        <v/>
      </c>
      <c r="D14" s="4" t="str">
        <f>IF(ISBLANK(Tableau1425272912[[#This Row],[Durée estimée3]]),"",Tableau1425272912[[#This Row],[Durée estimée3]])</f>
        <v/>
      </c>
      <c r="E14" s="4" t="str">
        <f>IF(ISBLANK(Tableau1425272912[[#This Row],[Durée estimée4]]),"",Tableau1425272912[[#This Row],[Durée estimée4]])</f>
        <v/>
      </c>
      <c r="F14" s="43">
        <f>SUM(Tableau13262811[[#This Row],[Durée réelle en heures]:[Durée réelle en heures4]])</f>
        <v>0</v>
      </c>
      <c r="G14" s="12">
        <f>IF('Séance 5'!F14=0,0,IF('Séance 4'!F14=0,"Nouvelle tâche",(('Séance 5'!F14)/'Séance 4'!F14)))</f>
        <v>0</v>
      </c>
      <c r="I14" s="3"/>
      <c r="J14" s="43"/>
      <c r="K14" s="43"/>
      <c r="L14" s="43"/>
      <c r="M14" s="43"/>
      <c r="N14" s="4">
        <f>SUM(Tableau1425272912[[#This Row],[Durée estimée]:[Durée estimée4]])</f>
        <v>0</v>
      </c>
    </row>
    <row r="15" spans="1:14" x14ac:dyDescent="0.25">
      <c r="A15" s="4" t="str">
        <f>IF(ISBLANK(Tableau1425272912[[#This Row],[Description de la tâche]]),"",Tableau1425272912[[#This Row],[Description de la tâche]])</f>
        <v/>
      </c>
      <c r="B15" s="4" t="str">
        <f>IF(ISBLANK(Tableau1425272912[[#This Row],[Durée estimée]]),"",Tableau1425272912[[#This Row],[Durée estimée]])</f>
        <v/>
      </c>
      <c r="C15" s="4" t="str">
        <f>IF(ISBLANK(Tableau1425272912[[#This Row],[Durée estimée2]]),"",Tableau1425272912[[#This Row],[Durée estimée2]])</f>
        <v/>
      </c>
      <c r="D15" s="4" t="str">
        <f>IF(ISBLANK(Tableau1425272912[[#This Row],[Durée estimée3]]),"",Tableau1425272912[[#This Row],[Durée estimée3]])</f>
        <v/>
      </c>
      <c r="E15" s="4" t="str">
        <f>IF(ISBLANK(Tableau1425272912[[#This Row],[Durée estimée4]]),"",Tableau1425272912[[#This Row],[Durée estimée4]])</f>
        <v/>
      </c>
      <c r="F15" s="43">
        <f>SUM(Tableau13262811[[#This Row],[Durée réelle en heures]:[Durée réelle en heures4]])</f>
        <v>0</v>
      </c>
      <c r="G15" s="12">
        <f>IF('Séance 5'!F15=0,0,IF('Séance 4'!F15=0,"Nouvelle tâche",(('Séance 5'!F15)/'Séance 4'!F15)))</f>
        <v>0</v>
      </c>
      <c r="I15" s="3"/>
      <c r="J15" s="43"/>
      <c r="K15" s="43"/>
      <c r="L15" s="43"/>
      <c r="M15" s="43"/>
      <c r="N15" s="4">
        <f>SUM(Tableau1425272912[[#This Row],[Durée estimée]:[Durée estimée4]])</f>
        <v>0</v>
      </c>
    </row>
    <row r="16" spans="1:14" x14ac:dyDescent="0.25">
      <c r="A16" s="4" t="str">
        <f>IF(ISBLANK(Tableau1425272912[[#This Row],[Description de la tâche]]),"",Tableau1425272912[[#This Row],[Description de la tâche]])</f>
        <v/>
      </c>
      <c r="B16" s="4" t="str">
        <f>IF(ISBLANK(Tableau1425272912[[#This Row],[Durée estimée]]),"",Tableau1425272912[[#This Row],[Durée estimée]])</f>
        <v/>
      </c>
      <c r="C16" s="4" t="str">
        <f>IF(ISBLANK(Tableau1425272912[[#This Row],[Durée estimée2]]),"",Tableau1425272912[[#This Row],[Durée estimée2]])</f>
        <v/>
      </c>
      <c r="D16" s="4" t="str">
        <f>IF(ISBLANK(Tableau1425272912[[#This Row],[Durée estimée3]]),"",Tableau1425272912[[#This Row],[Durée estimée3]])</f>
        <v/>
      </c>
      <c r="E16" s="4" t="str">
        <f>IF(ISBLANK(Tableau1425272912[[#This Row],[Durée estimée4]]),"",Tableau1425272912[[#This Row],[Durée estimée4]])</f>
        <v/>
      </c>
      <c r="F16" s="43">
        <f>SUM(Tableau13262811[[#This Row],[Durée réelle en heures]:[Durée réelle en heures4]])</f>
        <v>0</v>
      </c>
      <c r="G16" s="12">
        <f>IF('Séance 5'!F16=0,0,IF('Séance 4'!F16=0,"Nouvelle tâche",(('Séance 5'!F16)/'Séance 4'!F16)))</f>
        <v>0</v>
      </c>
      <c r="I16" s="3"/>
      <c r="J16" s="43"/>
      <c r="K16" s="43"/>
      <c r="L16" s="43"/>
      <c r="M16" s="43"/>
      <c r="N16" s="4">
        <f>SUM(Tableau1425272912[[#This Row],[Durée estimée]:[Durée estimée4]])</f>
        <v>0</v>
      </c>
    </row>
    <row r="17" spans="1:14" x14ac:dyDescent="0.25">
      <c r="A17" s="4" t="str">
        <f>IF(ISBLANK(Tableau1425272912[[#This Row],[Description de la tâche]]),"",Tableau1425272912[[#This Row],[Description de la tâche]])</f>
        <v/>
      </c>
      <c r="B17" s="4" t="str">
        <f>IF(ISBLANK(Tableau1425272912[[#This Row],[Durée estimée]]),"",Tableau1425272912[[#This Row],[Durée estimée]])</f>
        <v/>
      </c>
      <c r="C17" s="4" t="str">
        <f>IF(ISBLANK(Tableau1425272912[[#This Row],[Durée estimée2]]),"",Tableau1425272912[[#This Row],[Durée estimée2]])</f>
        <v/>
      </c>
      <c r="D17" s="4" t="str">
        <f>IF(ISBLANK(Tableau1425272912[[#This Row],[Durée estimée3]]),"",Tableau1425272912[[#This Row],[Durée estimée3]])</f>
        <v/>
      </c>
      <c r="E17" s="4" t="str">
        <f>IF(ISBLANK(Tableau1425272912[[#This Row],[Durée estimée4]]),"",Tableau1425272912[[#This Row],[Durée estimée4]])</f>
        <v/>
      </c>
      <c r="F17" s="43">
        <f>SUM(Tableau13262811[[#This Row],[Durée réelle en heures]:[Durée réelle en heures4]])</f>
        <v>0</v>
      </c>
      <c r="G17" s="12">
        <f>IF('Séance 5'!F17=0,0,IF('Séance 4'!F17=0,"Nouvelle tâche",(('Séance 5'!F17)/'Séance 4'!F17)))</f>
        <v>0</v>
      </c>
      <c r="I17" s="3"/>
      <c r="J17" s="43"/>
      <c r="K17" s="43"/>
      <c r="L17" s="43"/>
      <c r="M17" s="43"/>
      <c r="N17" s="4">
        <f>SUM(Tableau1425272912[[#This Row],[Durée estimée]:[Durée estimée4]])</f>
        <v>0</v>
      </c>
    </row>
    <row r="18" spans="1:14" x14ac:dyDescent="0.25">
      <c r="A18" s="4" t="str">
        <f>IF(ISBLANK(Tableau1425272912[[#This Row],[Description de la tâche]]),"",Tableau1425272912[[#This Row],[Description de la tâche]])</f>
        <v/>
      </c>
      <c r="B18" s="4" t="str">
        <f>IF(ISBLANK(Tableau1425272912[[#This Row],[Durée estimée]]),"",Tableau1425272912[[#This Row],[Durée estimée]])</f>
        <v/>
      </c>
      <c r="C18" s="4" t="str">
        <f>IF(ISBLANK(Tableau1425272912[[#This Row],[Durée estimée2]]),"",Tableau1425272912[[#This Row],[Durée estimée2]])</f>
        <v/>
      </c>
      <c r="D18" s="4" t="str">
        <f>IF(ISBLANK(Tableau1425272912[[#This Row],[Durée estimée3]]),"",Tableau1425272912[[#This Row],[Durée estimée3]])</f>
        <v/>
      </c>
      <c r="E18" s="4" t="str">
        <f>IF(ISBLANK(Tableau1425272912[[#This Row],[Durée estimée4]]),"",Tableau1425272912[[#This Row],[Durée estimée4]])</f>
        <v/>
      </c>
      <c r="F18" s="43">
        <f>SUM(Tableau13262811[[#This Row],[Durée réelle en heures]:[Durée réelle en heures4]])</f>
        <v>0</v>
      </c>
      <c r="G18" s="12">
        <f>IF('Séance 5'!F18=0,0,IF('Séance 4'!F18=0,"Nouvelle tâche",(('Séance 5'!F18)/'Séance 4'!F18)))</f>
        <v>0</v>
      </c>
      <c r="I18" s="3"/>
      <c r="J18" s="43"/>
      <c r="K18" s="43"/>
      <c r="L18" s="43"/>
      <c r="M18" s="43"/>
      <c r="N18" s="4">
        <f>SUM(Tableau1425272912[[#This Row],[Durée estimée]:[Durée estimée4]])</f>
        <v>0</v>
      </c>
    </row>
    <row r="19" spans="1:14" x14ac:dyDescent="0.25">
      <c r="A19" s="4" t="str">
        <f>IF(ISBLANK(Tableau1425272912[[#This Row],[Description de la tâche]]),"",Tableau1425272912[[#This Row],[Description de la tâche]])</f>
        <v/>
      </c>
      <c r="B19" s="4" t="str">
        <f>IF(ISBLANK(Tableau1425272912[[#This Row],[Durée estimée]]),"",Tableau1425272912[[#This Row],[Durée estimée]])</f>
        <v/>
      </c>
      <c r="C19" s="4" t="str">
        <f>IF(ISBLANK(Tableau1425272912[[#This Row],[Durée estimée2]]),"",Tableau1425272912[[#This Row],[Durée estimée2]])</f>
        <v/>
      </c>
      <c r="D19" s="4" t="str">
        <f>IF(ISBLANK(Tableau1425272912[[#This Row],[Durée estimée3]]),"",Tableau1425272912[[#This Row],[Durée estimée3]])</f>
        <v/>
      </c>
      <c r="E19" s="4" t="str">
        <f>IF(ISBLANK(Tableau1425272912[[#This Row],[Durée estimée4]]),"",Tableau1425272912[[#This Row],[Durée estimée4]])</f>
        <v/>
      </c>
      <c r="F19" s="43">
        <f>SUM(Tableau13262811[[#This Row],[Durée réelle en heures]:[Durée réelle en heures4]])</f>
        <v>0</v>
      </c>
      <c r="G19" s="12">
        <f>IF('Séance 5'!F19=0,0,IF('Séance 4'!F19=0,"Nouvelle tâche",(('Séance 5'!F19)/'Séance 4'!F19)))</f>
        <v>0</v>
      </c>
      <c r="I19" s="3"/>
      <c r="J19" s="43"/>
      <c r="K19" s="43"/>
      <c r="L19" s="43"/>
      <c r="M19" s="43"/>
      <c r="N19" s="4">
        <f>SUM(Tableau1425272912[[#This Row],[Durée estimée]:[Durée estimée4]])</f>
        <v>0</v>
      </c>
    </row>
    <row r="20" spans="1:14" x14ac:dyDescent="0.25">
      <c r="A20" s="4" t="str">
        <f>IF(ISBLANK(Tableau1425272912[[#This Row],[Description de la tâche]]),"",Tableau1425272912[[#This Row],[Description de la tâche]])</f>
        <v/>
      </c>
      <c r="B20" s="4" t="str">
        <f>IF(ISBLANK(Tableau1425272912[[#This Row],[Durée estimée]]),"",Tableau1425272912[[#This Row],[Durée estimée]])</f>
        <v/>
      </c>
      <c r="C20" s="4" t="str">
        <f>IF(ISBLANK(Tableau1425272912[[#This Row],[Durée estimée2]]),"",Tableau1425272912[[#This Row],[Durée estimée2]])</f>
        <v/>
      </c>
      <c r="D20" s="4" t="str">
        <f>IF(ISBLANK(Tableau1425272912[[#This Row],[Durée estimée3]]),"",Tableau1425272912[[#This Row],[Durée estimée3]])</f>
        <v/>
      </c>
      <c r="E20" s="4" t="str">
        <f>IF(ISBLANK(Tableau1425272912[[#This Row],[Durée estimée4]]),"",Tableau1425272912[[#This Row],[Durée estimée4]])</f>
        <v/>
      </c>
      <c r="F20" s="43">
        <f>SUM(Tableau13262811[[#This Row],[Durée réelle en heures]:[Durée réelle en heures4]])</f>
        <v>0</v>
      </c>
      <c r="G20" s="12">
        <f>IF('Séance 5'!F20=0,0,IF('Séance 4'!F20=0,"Nouvelle tâche",(('Séance 5'!F20)/'Séance 4'!F20)))</f>
        <v>0</v>
      </c>
      <c r="I20" s="3"/>
      <c r="J20" s="43"/>
      <c r="K20" s="43"/>
      <c r="L20" s="43"/>
      <c r="M20" s="43"/>
      <c r="N20" s="4">
        <f>SUM(Tableau1425272912[[#This Row],[Durée estimée]:[Durée estimée4]])</f>
        <v>0</v>
      </c>
    </row>
    <row r="21" spans="1:14" x14ac:dyDescent="0.25">
      <c r="A21" s="4" t="str">
        <f>IF(ISBLANK(Tableau1425272912[[#This Row],[Description de la tâche]]),"",Tableau1425272912[[#This Row],[Description de la tâche]])</f>
        <v/>
      </c>
      <c r="B21" s="4" t="str">
        <f>IF(ISBLANK(Tableau1425272912[[#This Row],[Durée estimée]]),"",Tableau1425272912[[#This Row],[Durée estimée]])</f>
        <v/>
      </c>
      <c r="C21" s="4" t="str">
        <f>IF(ISBLANK(Tableau1425272912[[#This Row],[Durée estimée2]]),"",Tableau1425272912[[#This Row],[Durée estimée2]])</f>
        <v/>
      </c>
      <c r="D21" s="4" t="str">
        <f>IF(ISBLANK(Tableau1425272912[[#This Row],[Durée estimée3]]),"",Tableau1425272912[[#This Row],[Durée estimée3]])</f>
        <v/>
      </c>
      <c r="E21" s="4" t="str">
        <f>IF(ISBLANK(Tableau1425272912[[#This Row],[Durée estimée4]]),"",Tableau1425272912[[#This Row],[Durée estimée4]])</f>
        <v/>
      </c>
      <c r="F21" s="43">
        <f>SUM(Tableau13262811[[#This Row],[Durée réelle en heures]:[Durée réelle en heures4]])</f>
        <v>0</v>
      </c>
      <c r="G21" s="12">
        <f>IF('Séance 5'!F21=0,0,IF('Séance 4'!F21=0,"Nouvelle tâche",(('Séance 5'!F21)/'Séance 4'!F21)))</f>
        <v>0</v>
      </c>
      <c r="I21" s="3"/>
      <c r="J21" s="43"/>
      <c r="K21" s="43"/>
      <c r="L21" s="43"/>
      <c r="M21" s="43"/>
      <c r="N21" s="4">
        <f>SUM(Tableau1425272912[[#This Row],[Durée estimée]:[Durée estimée4]])</f>
        <v>0</v>
      </c>
    </row>
    <row r="22" spans="1:14" x14ac:dyDescent="0.25">
      <c r="A22" s="4" t="str">
        <f>IF(ISBLANK(Tableau1425272912[[#This Row],[Description de la tâche]]),"",Tableau1425272912[[#This Row],[Description de la tâche]])</f>
        <v/>
      </c>
      <c r="B22" s="4" t="str">
        <f>IF(ISBLANK(Tableau1425272912[[#This Row],[Durée estimée]]),"",Tableau1425272912[[#This Row],[Durée estimée]])</f>
        <v/>
      </c>
      <c r="C22" s="4" t="str">
        <f>IF(ISBLANK(Tableau1425272912[[#This Row],[Durée estimée2]]),"",Tableau1425272912[[#This Row],[Durée estimée2]])</f>
        <v/>
      </c>
      <c r="D22" s="4" t="str">
        <f>IF(ISBLANK(Tableau1425272912[[#This Row],[Durée estimée3]]),"",Tableau1425272912[[#This Row],[Durée estimée3]])</f>
        <v/>
      </c>
      <c r="E22" s="4" t="str">
        <f>IF(ISBLANK(Tableau1425272912[[#This Row],[Durée estimée4]]),"",Tableau1425272912[[#This Row],[Durée estimée4]])</f>
        <v/>
      </c>
      <c r="F22" s="44">
        <f>SUM(Tableau13262811[[#This Row],[Durée réelle en heures]:[Durée réelle en heures4]])</f>
        <v>0</v>
      </c>
      <c r="G22" s="12">
        <f>IF('Séance 5'!F22=0,0,IF('Séance 4'!F22=0,"Nouvelle tâche",(('Séance 5'!F22)/'Séance 4'!F22)))</f>
        <v>0</v>
      </c>
      <c r="I22" s="19"/>
      <c r="J22" s="44"/>
      <c r="K22" s="44"/>
      <c r="L22" s="44"/>
      <c r="M22" s="44"/>
      <c r="N22" s="4">
        <f>SUM(Tableau1425272912[[#This Row],[Durée estimée]:[Durée estimée4]])</f>
        <v>0</v>
      </c>
    </row>
    <row r="23" spans="1:14" x14ac:dyDescent="0.25">
      <c r="A23" s="4" t="str">
        <f>IF(ISBLANK(Tableau1425272912[[#This Row],[Description de la tâche]]),"",Tableau1425272912[[#This Row],[Description de la tâche]])</f>
        <v/>
      </c>
      <c r="B23" s="4" t="str">
        <f>IF(ISBLANK(Tableau1425272912[[#This Row],[Durée estimée]]),"",Tableau1425272912[[#This Row],[Durée estimée]])</f>
        <v/>
      </c>
      <c r="C23" s="4" t="str">
        <f>IF(ISBLANK(Tableau1425272912[[#This Row],[Durée estimée2]]),"",Tableau1425272912[[#This Row],[Durée estimée2]])</f>
        <v/>
      </c>
      <c r="D23" s="4" t="str">
        <f>IF(ISBLANK(Tableau1425272912[[#This Row],[Durée estimée3]]),"",Tableau1425272912[[#This Row],[Durée estimée3]])</f>
        <v/>
      </c>
      <c r="E23" s="4" t="str">
        <f>IF(ISBLANK(Tableau1425272912[[#This Row],[Durée estimée4]]),"",Tableau1425272912[[#This Row],[Durée estimée4]])</f>
        <v/>
      </c>
      <c r="F23" s="43">
        <f>SUM(Tableau13262811[[#This Row],[Durée réelle en heures]:[Durée réelle en heures4]])</f>
        <v>0</v>
      </c>
      <c r="G23" s="12">
        <f>IF('Séance 5'!F23=0,0,IF('Séance 4'!F23=0,"Nouvelle tâche",(('Séance 5'!F23)/'Séance 4'!F23)))</f>
        <v>0</v>
      </c>
      <c r="I23" s="3"/>
      <c r="J23" s="43"/>
      <c r="K23" s="43"/>
      <c r="L23" s="43"/>
      <c r="M23" s="43"/>
      <c r="N23" s="4">
        <f>SUM(Tableau1425272912[[#This Row],[Durée estimée]:[Durée estimée4]])</f>
        <v>0</v>
      </c>
    </row>
    <row r="24" spans="1:14" x14ac:dyDescent="0.25">
      <c r="A24" s="4" t="str">
        <f>IF(ISBLANK(Tableau1425272912[[#This Row],[Description de la tâche]]),"",Tableau1425272912[[#This Row],[Description de la tâche]])</f>
        <v/>
      </c>
      <c r="B24" s="4" t="str">
        <f>IF(ISBLANK(Tableau1425272912[[#This Row],[Durée estimée]]),"",Tableau1425272912[[#This Row],[Durée estimée]])</f>
        <v/>
      </c>
      <c r="C24" s="4" t="str">
        <f>IF(ISBLANK(Tableau1425272912[[#This Row],[Durée estimée2]]),"",Tableau1425272912[[#This Row],[Durée estimée2]])</f>
        <v/>
      </c>
      <c r="D24" s="4" t="str">
        <f>IF(ISBLANK(Tableau1425272912[[#This Row],[Durée estimée3]]),"",Tableau1425272912[[#This Row],[Durée estimée3]])</f>
        <v/>
      </c>
      <c r="E24" s="4" t="str">
        <f>IF(ISBLANK(Tableau1425272912[[#This Row],[Durée estimée4]]),"",Tableau1425272912[[#This Row],[Durée estimée4]])</f>
        <v/>
      </c>
      <c r="F24" s="43">
        <f>SUM(Tableau13262811[[#This Row],[Durée réelle en heures]:[Durée réelle en heures4]])</f>
        <v>0</v>
      </c>
      <c r="G24" s="12">
        <f>IF('Séance 5'!F24=0,0,IF('Séance 4'!F25=0,"Nouvelle tâche",(('Séance 5'!F24)/'Séance 4'!F25)))</f>
        <v>0</v>
      </c>
      <c r="I24" s="3"/>
      <c r="J24" s="43"/>
      <c r="K24" s="43"/>
      <c r="L24" s="43"/>
      <c r="M24" s="43"/>
      <c r="N24" s="4">
        <f>SUM(Tableau1425272912[[#This Row],[Durée estimée]:[Durée estimée4]])</f>
        <v>0</v>
      </c>
    </row>
    <row r="25" spans="1:14" ht="15.75" thickBot="1" x14ac:dyDescent="0.3">
      <c r="A25" s="4" t="str">
        <f>IF(ISBLANK(Tableau1425272912[[#This Row],[Description de la tâche]]),"",Tableau1425272912[[#This Row],[Description de la tâche]])</f>
        <v/>
      </c>
      <c r="B25" s="4" t="str">
        <f>IF(ISBLANK(Tableau1425272912[[#This Row],[Durée estimée]]),"",Tableau1425272912[[#This Row],[Durée estimée]])</f>
        <v/>
      </c>
      <c r="C25" s="4" t="str">
        <f>IF(ISBLANK(Tableau1425272912[[#This Row],[Durée estimée2]]),"",Tableau1425272912[[#This Row],[Durée estimée2]])</f>
        <v/>
      </c>
      <c r="D25" s="4" t="str">
        <f>IF(ISBLANK(Tableau1425272912[[#This Row],[Durée estimée3]]),"",Tableau1425272912[[#This Row],[Durée estimée3]])</f>
        <v/>
      </c>
      <c r="E25" s="4" t="str">
        <f>IF(ISBLANK(Tableau1425272912[[#This Row],[Durée estimée4]]),"",Tableau1425272912[[#This Row],[Durée estimée4]])</f>
        <v/>
      </c>
      <c r="F25" s="44">
        <f>SUM(Tableau13262811[[#This Row],[Durée réelle en heures]:[Durée réelle en heures4]])</f>
        <v>0</v>
      </c>
      <c r="G25" s="12">
        <f>IF('Séance 5'!F25=0,0,IF('Séance 4'!F26=0,"Nouvelle tâche",(('Séance 5'!F25)/'Séance 4'!F26)))</f>
        <v>0</v>
      </c>
      <c r="I25" s="19"/>
      <c r="J25" s="44"/>
      <c r="K25" s="44"/>
      <c r="L25" s="44"/>
      <c r="M25" s="44"/>
      <c r="N25" s="4">
        <f>SUM(Tableau1425272912[[#This Row],[Durée estimée]:[Durée estimée4]])</f>
        <v>0</v>
      </c>
    </row>
    <row r="26" spans="1:14" x14ac:dyDescent="0.25">
      <c r="A26" s="62" t="s">
        <v>13</v>
      </c>
      <c r="B26" s="63">
        <f>SUM(B3:B25)</f>
        <v>0</v>
      </c>
      <c r="C26" s="63">
        <f>SUM(C3:C25)</f>
        <v>0</v>
      </c>
      <c r="D26" s="63">
        <f>SUM(D3:D25)</f>
        <v>0</v>
      </c>
      <c r="E26" s="63">
        <f>SUM(E3:E25)</f>
        <v>0</v>
      </c>
      <c r="F26" s="48">
        <f>SUM(F3:F25)</f>
        <v>0</v>
      </c>
      <c r="G26" s="20">
        <f>SUM(Tableau13262811[[#This Row],[Durée réelle en heures]:[Total réel]])</f>
        <v>0</v>
      </c>
      <c r="I26" s="16" t="s">
        <v>18</v>
      </c>
      <c r="J26" s="45">
        <f>SUM(J3:J25)</f>
        <v>0</v>
      </c>
      <c r="K26" s="45">
        <f>SUM(K3:K25)</f>
        <v>0</v>
      </c>
      <c r="L26" s="45">
        <f>SUM(L3:L25)</f>
        <v>0</v>
      </c>
      <c r="M26" s="45">
        <f>SUM(M3:M25)</f>
        <v>0</v>
      </c>
      <c r="N26" s="21">
        <f>SUM(N3:N25)</f>
        <v>0</v>
      </c>
    </row>
    <row r="27" spans="1:14" ht="27" thickBot="1" x14ac:dyDescent="0.3">
      <c r="A27" s="13" t="s">
        <v>14</v>
      </c>
      <c r="B27" s="50" t="str">
        <f>IF($G$26=0,"Non renseigné",B26/$G$26*100)</f>
        <v>Non renseigné</v>
      </c>
      <c r="C27" s="50" t="str">
        <f>IF($G$26=0,"Non renseigné",C26/$G$26*100)</f>
        <v>Non renseigné</v>
      </c>
      <c r="D27" s="50" t="str">
        <f>IF($G$26=0,"Non renseigné",D26/$G$26*100)</f>
        <v>Non renseigné</v>
      </c>
      <c r="E27" s="50" t="str">
        <f>IF($G$26=0,"Non renseigné",E26/$G$26*100)</f>
        <v>Non renseigné</v>
      </c>
      <c r="F27" s="47">
        <f>SUM(Tableau13262811[[#This Row],[Durée réelle en heures]:[Durée réelle en heures4]])</f>
        <v>0</v>
      </c>
      <c r="G27" s="14">
        <f>SUM(Tableau13262811[[#This Row],[Durée réelle en heures]:[Total réel]])</f>
        <v>0</v>
      </c>
      <c r="H27" s="1"/>
      <c r="I27" s="22" t="s">
        <v>19</v>
      </c>
      <c r="J27" s="46" t="str">
        <f>IF($N$26=0,"Non renseigné",J26/$N$26*100)</f>
        <v>Non renseigné</v>
      </c>
      <c r="K27" s="46" t="str">
        <f>IF($N$26=0,"Non renseigné",K26/$N$26*100)</f>
        <v>Non renseigné</v>
      </c>
      <c r="L27" s="46" t="str">
        <f t="shared" ref="L27:M27" si="0">IF($N$26=0,"Non renseigné",L26/$N$26*100)</f>
        <v>Non renseigné</v>
      </c>
      <c r="M27" s="46" t="str">
        <f t="shared" si="0"/>
        <v>Non renseigné</v>
      </c>
      <c r="N27" s="23">
        <f>SUM(Tableau1425272912[[#This Row],[Durée estimée]:[Durée estimée4]])</f>
        <v>0</v>
      </c>
    </row>
    <row r="28" spans="1:14" x14ac:dyDescent="0.25">
      <c r="A28" s="1"/>
      <c r="B28" s="1"/>
      <c r="C28" s="1"/>
      <c r="D28" s="1"/>
      <c r="E28" s="1"/>
      <c r="F28" s="1"/>
      <c r="G28" s="1"/>
    </row>
    <row r="29" spans="1:14" x14ac:dyDescent="0.25">
      <c r="A29" s="1"/>
      <c r="B29" s="1"/>
      <c r="C29" s="1"/>
      <c r="D29" s="1"/>
      <c r="E29" s="1"/>
      <c r="F29" s="1"/>
      <c r="G29" s="1"/>
    </row>
    <row r="36" spans="1:7" x14ac:dyDescent="0.25">
      <c r="A36" s="1"/>
      <c r="B36" s="1"/>
      <c r="C36" s="1"/>
      <c r="D36" s="1"/>
      <c r="E36" s="1"/>
      <c r="F36" s="1"/>
      <c r="G36" s="1"/>
    </row>
  </sheetData>
  <phoneticPr fontId="4" type="noConversion"/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1007B-7E3C-4378-BE17-94C8284E011C}">
  <dimension ref="A1:N36"/>
  <sheetViews>
    <sheetView zoomScale="85" zoomScaleNormal="85" workbookViewId="0">
      <selection activeCell="A3" sqref="A3"/>
    </sheetView>
  </sheetViews>
  <sheetFormatPr baseColWidth="10" defaultRowHeight="15" x14ac:dyDescent="0.25"/>
  <cols>
    <col min="1" max="1" width="22.7109375" customWidth="1"/>
    <col min="2" max="2" width="13" customWidth="1"/>
    <col min="9" max="9" width="24.42578125" customWidth="1"/>
    <col min="11" max="11" width="13.140625" customWidth="1"/>
  </cols>
  <sheetData>
    <row r="1" spans="1:14" ht="26.25" x14ac:dyDescent="0.25">
      <c r="A1" s="7" t="s">
        <v>16</v>
      </c>
      <c r="B1" s="8" t="str">
        <f>Synthèse!D2</f>
        <v>Nom1</v>
      </c>
      <c r="C1" s="8" t="str">
        <f>Synthèse!D3</f>
        <v>Nom2</v>
      </c>
      <c r="D1" s="8" t="str">
        <f>Synthèse!D4</f>
        <v>Nom3</v>
      </c>
      <c r="E1" s="8" t="str">
        <f>Synthèse!D5</f>
        <v>Nom4</v>
      </c>
      <c r="F1" s="8"/>
      <c r="G1" s="9"/>
      <c r="I1" s="16" t="s">
        <v>17</v>
      </c>
      <c r="J1" s="17" t="str">
        <f>Synthèse!$D2</f>
        <v>Nom1</v>
      </c>
      <c r="K1" s="17" t="str">
        <f>Synthèse!$D3</f>
        <v>Nom2</v>
      </c>
      <c r="L1" s="17" t="str">
        <f>Synthèse!$D4</f>
        <v>Nom3</v>
      </c>
      <c r="M1" s="17" t="str">
        <f>Synthèse!$D5</f>
        <v>Nom4</v>
      </c>
      <c r="N1" s="17"/>
    </row>
    <row r="2" spans="1:14" ht="51.75" x14ac:dyDescent="0.25">
      <c r="A2" s="10" t="s">
        <v>38</v>
      </c>
      <c r="B2" s="6" t="s">
        <v>39</v>
      </c>
      <c r="C2" s="6" t="s">
        <v>40</v>
      </c>
      <c r="D2" s="6" t="s">
        <v>41</v>
      </c>
      <c r="E2" s="6" t="s">
        <v>42</v>
      </c>
      <c r="F2" s="6" t="s">
        <v>36</v>
      </c>
      <c r="G2" s="11" t="s">
        <v>37</v>
      </c>
      <c r="I2" s="18" t="s">
        <v>38</v>
      </c>
      <c r="J2" s="15" t="s">
        <v>32</v>
      </c>
      <c r="K2" s="15" t="s">
        <v>33</v>
      </c>
      <c r="L2" s="15" t="s">
        <v>34</v>
      </c>
      <c r="M2" s="15" t="s">
        <v>35</v>
      </c>
      <c r="N2" s="15" t="s">
        <v>2</v>
      </c>
    </row>
    <row r="3" spans="1:14" x14ac:dyDescent="0.25">
      <c r="A3" s="4" t="str">
        <f>IF(ISBLANK(Tableau1425272912[[#This Row],[Description de la tâche]]),"",Tableau1425272912[[#This Row],[Description de la tâche]])</f>
        <v/>
      </c>
      <c r="B3" s="4" t="str">
        <f>IF(ISBLANK(Tableau1425272912[[#This Row],[Durée estimée]]),"",Tableau1425272912[[#This Row],[Durée estimée]])</f>
        <v/>
      </c>
      <c r="C3" s="4" t="str">
        <f>IF(ISBLANK(Tableau1425272912[[#This Row],[Durée estimée2]]),"",Tableau1425272912[[#This Row],[Durée estimée2]])</f>
        <v/>
      </c>
      <c r="D3" s="4" t="str">
        <f>IF(ISBLANK(Tableau1425272912[[#This Row],[Durée estimée3]]),"",Tableau1425272912[[#This Row],[Durée estimée3]])</f>
        <v/>
      </c>
      <c r="E3" s="4" t="str">
        <f>IF(ISBLANK(Tableau1425272912[[#This Row],[Durée estimée4]]),"",Tableau1425272912[[#This Row],[Durée estimée4]])</f>
        <v/>
      </c>
      <c r="F3" s="43">
        <f>SUM(Tableau13262813[[#This Row],[Durée réelle en heures]:[Durée réelle en heures4]])</f>
        <v>0</v>
      </c>
      <c r="G3" s="12">
        <f>IF('Séance 5'!F3=0,0,IF('Séance 4'!F3=0,"Nouvelle tâche",(('Séance 5'!F3)/'Séance 4'!F3)))</f>
        <v>0</v>
      </c>
      <c r="I3" s="3"/>
      <c r="J3" s="43"/>
      <c r="K3" s="43"/>
      <c r="L3" s="43"/>
      <c r="M3" s="43"/>
      <c r="N3" s="4">
        <f>SUM(Tableau1425272914[[#This Row],[Durée estimée]:[Durée estimée4]])</f>
        <v>0</v>
      </c>
    </row>
    <row r="4" spans="1:14" x14ac:dyDescent="0.25">
      <c r="A4" s="4" t="str">
        <f>IF(ISBLANK(Tableau1425272912[[#This Row],[Description de la tâche]]),"",Tableau1425272912[[#This Row],[Description de la tâche]])</f>
        <v/>
      </c>
      <c r="B4" s="4" t="str">
        <f>IF(ISBLANK(Tableau1425272912[[#This Row],[Durée estimée]]),"",Tableau1425272912[[#This Row],[Durée estimée]])</f>
        <v/>
      </c>
      <c r="C4" s="4" t="str">
        <f>IF(ISBLANK(Tableau1425272912[[#This Row],[Durée estimée2]]),"",Tableau1425272912[[#This Row],[Durée estimée2]])</f>
        <v/>
      </c>
      <c r="D4" s="4" t="str">
        <f>IF(ISBLANK(Tableau1425272912[[#This Row],[Durée estimée3]]),"",Tableau1425272912[[#This Row],[Durée estimée3]])</f>
        <v/>
      </c>
      <c r="E4" s="4" t="str">
        <f>IF(ISBLANK(Tableau1425272912[[#This Row],[Durée estimée4]]),"",Tableau1425272912[[#This Row],[Durée estimée4]])</f>
        <v/>
      </c>
      <c r="F4" s="43">
        <f>SUM(Tableau13262813[[#This Row],[Durée réelle en heures]:[Durée réelle en heures4]])</f>
        <v>0</v>
      </c>
      <c r="G4" s="12">
        <f>IF('Séance 5'!F4=0,0,IF('Séance 4'!F4=0,"Nouvelle tâche",(('Séance 5'!F4)/'Séance 4'!F4)))</f>
        <v>0</v>
      </c>
      <c r="I4" s="3"/>
      <c r="J4" s="43"/>
      <c r="K4" s="43"/>
      <c r="L4" s="43"/>
      <c r="M4" s="43"/>
      <c r="N4" s="4">
        <f>SUM(Tableau1425272914[[#This Row],[Durée estimée]:[Durée estimée4]])</f>
        <v>0</v>
      </c>
    </row>
    <row r="5" spans="1:14" x14ac:dyDescent="0.25">
      <c r="A5" s="4" t="str">
        <f>IF(ISBLANK(Tableau1425272912[[#This Row],[Description de la tâche]]),"",Tableau1425272912[[#This Row],[Description de la tâche]])</f>
        <v/>
      </c>
      <c r="B5" s="4" t="str">
        <f>IF(ISBLANK(Tableau1425272912[[#This Row],[Durée estimée]]),"",Tableau1425272912[[#This Row],[Durée estimée]])</f>
        <v/>
      </c>
      <c r="C5" s="4" t="str">
        <f>IF(ISBLANK(Tableau1425272912[[#This Row],[Durée estimée2]]),"",Tableau1425272912[[#This Row],[Durée estimée2]])</f>
        <v/>
      </c>
      <c r="D5" s="4" t="str">
        <f>IF(ISBLANK(Tableau1425272912[[#This Row],[Durée estimée3]]),"",Tableau1425272912[[#This Row],[Durée estimée3]])</f>
        <v/>
      </c>
      <c r="E5" s="4" t="str">
        <f>IF(ISBLANK(Tableau1425272912[[#This Row],[Durée estimée4]]),"",Tableau1425272912[[#This Row],[Durée estimée4]])</f>
        <v/>
      </c>
      <c r="F5" s="43">
        <f>SUM(Tableau13262813[[#This Row],[Durée réelle en heures]:[Durée réelle en heures4]])</f>
        <v>0</v>
      </c>
      <c r="G5" s="12">
        <f>IF('Séance 5'!F5=0,0,IF('Séance 4'!F5=0,"Nouvelle tâche",(('Séance 5'!F5)/'Séance 4'!F5)))</f>
        <v>0</v>
      </c>
      <c r="I5" s="3"/>
      <c r="J5" s="43"/>
      <c r="K5" s="43"/>
      <c r="L5" s="43"/>
      <c r="M5" s="43"/>
      <c r="N5" s="4">
        <f>SUM(Tableau1425272914[[#This Row],[Durée estimée]:[Durée estimée4]])</f>
        <v>0</v>
      </c>
    </row>
    <row r="6" spans="1:14" x14ac:dyDescent="0.25">
      <c r="A6" s="4" t="str">
        <f>IF(ISBLANK(Tableau1425272912[[#This Row],[Description de la tâche]]),"",Tableau1425272912[[#This Row],[Description de la tâche]])</f>
        <v/>
      </c>
      <c r="B6" s="4" t="str">
        <f>IF(ISBLANK(Tableau1425272912[[#This Row],[Durée estimée]]),"",Tableau1425272912[[#This Row],[Durée estimée]])</f>
        <v/>
      </c>
      <c r="C6" s="4" t="str">
        <f>IF(ISBLANK(Tableau1425272912[[#This Row],[Durée estimée2]]),"",Tableau1425272912[[#This Row],[Durée estimée2]])</f>
        <v/>
      </c>
      <c r="D6" s="4" t="str">
        <f>IF(ISBLANK(Tableau1425272912[[#This Row],[Durée estimée3]]),"",Tableau1425272912[[#This Row],[Durée estimée3]])</f>
        <v/>
      </c>
      <c r="E6" s="4" t="str">
        <f>IF(ISBLANK(Tableau1425272912[[#This Row],[Durée estimée4]]),"",Tableau1425272912[[#This Row],[Durée estimée4]])</f>
        <v/>
      </c>
      <c r="F6" s="43">
        <f>SUM(Tableau13262813[[#This Row],[Durée réelle en heures]:[Durée réelle en heures4]])</f>
        <v>0</v>
      </c>
      <c r="G6" s="12">
        <f>IF('Séance 5'!F6=0,0,IF('Séance 4'!F6=0,"Nouvelle tâche",(('Séance 5'!F6)/'Séance 4'!F6)))</f>
        <v>0</v>
      </c>
      <c r="I6" s="3"/>
      <c r="J6" s="43"/>
      <c r="K6" s="43"/>
      <c r="L6" s="43"/>
      <c r="M6" s="43"/>
      <c r="N6" s="4">
        <f>SUM(Tableau1425272914[[#This Row],[Durée estimée]:[Durée estimée4]])</f>
        <v>0</v>
      </c>
    </row>
    <row r="7" spans="1:14" x14ac:dyDescent="0.25">
      <c r="A7" s="4" t="str">
        <f>IF(ISBLANK(Tableau1425272912[[#This Row],[Description de la tâche]]),"",Tableau1425272912[[#This Row],[Description de la tâche]])</f>
        <v/>
      </c>
      <c r="B7" s="4" t="str">
        <f>IF(ISBLANK(Tableau1425272912[[#This Row],[Durée estimée]]),"",Tableau1425272912[[#This Row],[Durée estimée]])</f>
        <v/>
      </c>
      <c r="C7" s="4" t="str">
        <f>IF(ISBLANK(Tableau1425272912[[#This Row],[Durée estimée2]]),"",Tableau1425272912[[#This Row],[Durée estimée2]])</f>
        <v/>
      </c>
      <c r="D7" s="4" t="str">
        <f>IF(ISBLANK(Tableau1425272912[[#This Row],[Durée estimée3]]),"",Tableau1425272912[[#This Row],[Durée estimée3]])</f>
        <v/>
      </c>
      <c r="E7" s="4" t="str">
        <f>IF(ISBLANK(Tableau1425272912[[#This Row],[Durée estimée4]]),"",Tableau1425272912[[#This Row],[Durée estimée4]])</f>
        <v/>
      </c>
      <c r="F7" s="43">
        <f>SUM(Tableau13262813[[#This Row],[Durée réelle en heures]:[Durée réelle en heures4]])</f>
        <v>0</v>
      </c>
      <c r="G7" s="12">
        <f>IF('Séance 5'!F7=0,0,IF('Séance 4'!F7=0,"Nouvelle tâche",(('Séance 5'!F7)/'Séance 4'!F7)))</f>
        <v>0</v>
      </c>
      <c r="I7" s="3"/>
      <c r="J7" s="43"/>
      <c r="K7" s="43"/>
      <c r="L7" s="43"/>
      <c r="M7" s="43"/>
      <c r="N7" s="4">
        <f>SUM(Tableau1425272914[[#This Row],[Durée estimée]:[Durée estimée4]])</f>
        <v>0</v>
      </c>
    </row>
    <row r="8" spans="1:14" x14ac:dyDescent="0.25">
      <c r="A8" s="4" t="str">
        <f>IF(ISBLANK(Tableau1425272912[[#This Row],[Description de la tâche]]),"",Tableau1425272912[[#This Row],[Description de la tâche]])</f>
        <v/>
      </c>
      <c r="B8" s="4" t="str">
        <f>IF(ISBLANK(Tableau1425272912[[#This Row],[Durée estimée]]),"",Tableau1425272912[[#This Row],[Durée estimée]])</f>
        <v/>
      </c>
      <c r="C8" s="4" t="str">
        <f>IF(ISBLANK(Tableau1425272912[[#This Row],[Durée estimée2]]),"",Tableau1425272912[[#This Row],[Durée estimée2]])</f>
        <v/>
      </c>
      <c r="D8" s="4" t="str">
        <f>IF(ISBLANK(Tableau1425272912[[#This Row],[Durée estimée3]]),"",Tableau1425272912[[#This Row],[Durée estimée3]])</f>
        <v/>
      </c>
      <c r="E8" s="4" t="str">
        <f>IF(ISBLANK(Tableau1425272912[[#This Row],[Durée estimée4]]),"",Tableau1425272912[[#This Row],[Durée estimée4]])</f>
        <v/>
      </c>
      <c r="F8" s="43">
        <f>SUM(Tableau13262813[[#This Row],[Durée réelle en heures]:[Durée réelle en heures4]])</f>
        <v>0</v>
      </c>
      <c r="G8" s="12">
        <f>IF('Séance 5'!F8=0,0,IF('Séance 4'!F8=0,"Nouvelle tâche",(('Séance 5'!F8)/'Séance 4'!F8)))</f>
        <v>0</v>
      </c>
      <c r="I8" s="3"/>
      <c r="J8" s="43"/>
      <c r="K8" s="43"/>
      <c r="L8" s="43"/>
      <c r="M8" s="43"/>
      <c r="N8" s="4">
        <f>SUM(Tableau1425272914[[#This Row],[Durée estimée]:[Durée estimée4]])</f>
        <v>0</v>
      </c>
    </row>
    <row r="9" spans="1:14" x14ac:dyDescent="0.25">
      <c r="A9" s="4" t="str">
        <f>IF(ISBLANK(Tableau1425272912[[#This Row],[Description de la tâche]]),"",Tableau1425272912[[#This Row],[Description de la tâche]])</f>
        <v/>
      </c>
      <c r="B9" s="4" t="str">
        <f>IF(ISBLANK(Tableau1425272912[[#This Row],[Durée estimée]]),"",Tableau1425272912[[#This Row],[Durée estimée]])</f>
        <v/>
      </c>
      <c r="C9" s="4" t="str">
        <f>IF(ISBLANK(Tableau1425272912[[#This Row],[Durée estimée2]]),"",Tableau1425272912[[#This Row],[Durée estimée2]])</f>
        <v/>
      </c>
      <c r="D9" s="4" t="str">
        <f>IF(ISBLANK(Tableau1425272912[[#This Row],[Durée estimée3]]),"",Tableau1425272912[[#This Row],[Durée estimée3]])</f>
        <v/>
      </c>
      <c r="E9" s="4" t="str">
        <f>IF(ISBLANK(Tableau1425272912[[#This Row],[Durée estimée4]]),"",Tableau1425272912[[#This Row],[Durée estimée4]])</f>
        <v/>
      </c>
      <c r="F9" s="43">
        <f>SUM(Tableau13262813[[#This Row],[Durée réelle en heures]:[Durée réelle en heures4]])</f>
        <v>0</v>
      </c>
      <c r="G9" s="12">
        <f>IF('Séance 5'!F9=0,0,IF('Séance 4'!F9=0,"Nouvelle tâche",(('Séance 5'!F9)/'Séance 4'!F9)))</f>
        <v>0</v>
      </c>
      <c r="I9" s="3"/>
      <c r="J9" s="43"/>
      <c r="K9" s="43"/>
      <c r="L9" s="43"/>
      <c r="M9" s="43"/>
      <c r="N9" s="4">
        <f>SUM(Tableau1425272914[[#This Row],[Durée estimée]:[Durée estimée4]])</f>
        <v>0</v>
      </c>
    </row>
    <row r="10" spans="1:14" x14ac:dyDescent="0.25">
      <c r="A10" s="4" t="str">
        <f>IF(ISBLANK(Tableau1425272912[[#This Row],[Description de la tâche]]),"",Tableau1425272912[[#This Row],[Description de la tâche]])</f>
        <v/>
      </c>
      <c r="B10" s="4" t="str">
        <f>IF(ISBLANK(Tableau1425272912[[#This Row],[Durée estimée]]),"",Tableau1425272912[[#This Row],[Durée estimée]])</f>
        <v/>
      </c>
      <c r="C10" s="4" t="str">
        <f>IF(ISBLANK(Tableau1425272912[[#This Row],[Durée estimée2]]),"",Tableau1425272912[[#This Row],[Durée estimée2]])</f>
        <v/>
      </c>
      <c r="D10" s="4" t="str">
        <f>IF(ISBLANK(Tableau1425272912[[#This Row],[Durée estimée3]]),"",Tableau1425272912[[#This Row],[Durée estimée3]])</f>
        <v/>
      </c>
      <c r="E10" s="4" t="str">
        <f>IF(ISBLANK(Tableau1425272912[[#This Row],[Durée estimée4]]),"",Tableau1425272912[[#This Row],[Durée estimée4]])</f>
        <v/>
      </c>
      <c r="F10" s="43">
        <f>SUM(Tableau13262813[[#This Row],[Durée réelle en heures]:[Durée réelle en heures4]])</f>
        <v>0</v>
      </c>
      <c r="G10" s="12">
        <f>IF('Séance 5'!F10=0,0,IF('Séance 4'!F10=0,"Nouvelle tâche",(('Séance 5'!F10)/'Séance 4'!F10)))</f>
        <v>0</v>
      </c>
      <c r="I10" s="3"/>
      <c r="J10" s="43"/>
      <c r="K10" s="43"/>
      <c r="L10" s="43"/>
      <c r="M10" s="43"/>
      <c r="N10" s="4">
        <f>SUM(Tableau1425272914[[#This Row],[Durée estimée]:[Durée estimée4]])</f>
        <v>0</v>
      </c>
    </row>
    <row r="11" spans="1:14" x14ac:dyDescent="0.25">
      <c r="A11" s="4" t="str">
        <f>IF(ISBLANK(Tableau1425272912[[#This Row],[Description de la tâche]]),"",Tableau1425272912[[#This Row],[Description de la tâche]])</f>
        <v/>
      </c>
      <c r="B11" s="4" t="str">
        <f>IF(ISBLANK(Tableau1425272912[[#This Row],[Durée estimée]]),"",Tableau1425272912[[#This Row],[Durée estimée]])</f>
        <v/>
      </c>
      <c r="C11" s="4" t="str">
        <f>IF(ISBLANK(Tableau1425272912[[#This Row],[Durée estimée2]]),"",Tableau1425272912[[#This Row],[Durée estimée2]])</f>
        <v/>
      </c>
      <c r="D11" s="4" t="str">
        <f>IF(ISBLANK(Tableau1425272912[[#This Row],[Durée estimée3]]),"",Tableau1425272912[[#This Row],[Durée estimée3]])</f>
        <v/>
      </c>
      <c r="E11" s="4" t="str">
        <f>IF(ISBLANK(Tableau1425272912[[#This Row],[Durée estimée4]]),"",Tableau1425272912[[#This Row],[Durée estimée4]])</f>
        <v/>
      </c>
      <c r="F11" s="43">
        <f>SUM(Tableau13262813[[#This Row],[Durée réelle en heures]:[Durée réelle en heures4]])</f>
        <v>0</v>
      </c>
      <c r="G11" s="12">
        <f>IF('Séance 5'!F11=0,0,IF('Séance 4'!F11=0,"Nouvelle tâche",(('Séance 5'!F11)/'Séance 4'!F11)))</f>
        <v>0</v>
      </c>
      <c r="I11" s="3"/>
      <c r="J11" s="43"/>
      <c r="K11" s="43"/>
      <c r="L11" s="43"/>
      <c r="M11" s="43"/>
      <c r="N11" s="4">
        <f>SUM(Tableau1425272914[[#This Row],[Durée estimée]:[Durée estimée4]])</f>
        <v>0</v>
      </c>
    </row>
    <row r="12" spans="1:14" x14ac:dyDescent="0.25">
      <c r="A12" s="4" t="str">
        <f>IF(ISBLANK(Tableau1425272912[[#This Row],[Description de la tâche]]),"",Tableau1425272912[[#This Row],[Description de la tâche]])</f>
        <v/>
      </c>
      <c r="B12" s="4" t="str">
        <f>IF(ISBLANK(Tableau1425272912[[#This Row],[Durée estimée]]),"",Tableau1425272912[[#This Row],[Durée estimée]])</f>
        <v/>
      </c>
      <c r="C12" s="4" t="str">
        <f>IF(ISBLANK(Tableau1425272912[[#This Row],[Durée estimée2]]),"",Tableau1425272912[[#This Row],[Durée estimée2]])</f>
        <v/>
      </c>
      <c r="D12" s="4" t="str">
        <f>IF(ISBLANK(Tableau1425272912[[#This Row],[Durée estimée3]]),"",Tableau1425272912[[#This Row],[Durée estimée3]])</f>
        <v/>
      </c>
      <c r="E12" s="4" t="str">
        <f>IF(ISBLANK(Tableau1425272912[[#This Row],[Durée estimée4]]),"",Tableau1425272912[[#This Row],[Durée estimée4]])</f>
        <v/>
      </c>
      <c r="F12" s="43">
        <f>SUM(Tableau13262813[[#This Row],[Durée réelle en heures]:[Durée réelle en heures4]])</f>
        <v>0</v>
      </c>
      <c r="G12" s="12">
        <f>IF('Séance 5'!F12=0,0,IF('Séance 4'!F12=0,"Nouvelle tâche",(('Séance 5'!F12)/'Séance 4'!F12)))</f>
        <v>0</v>
      </c>
      <c r="I12" s="3"/>
      <c r="J12" s="43"/>
      <c r="K12" s="43"/>
      <c r="L12" s="43"/>
      <c r="M12" s="43"/>
      <c r="N12" s="4">
        <f>SUM(Tableau1425272914[[#This Row],[Durée estimée]:[Durée estimée4]])</f>
        <v>0</v>
      </c>
    </row>
    <row r="13" spans="1:14" x14ac:dyDescent="0.25">
      <c r="A13" s="4" t="str">
        <f>IF(ISBLANK(Tableau1425272912[[#This Row],[Description de la tâche]]),"",Tableau1425272912[[#This Row],[Description de la tâche]])</f>
        <v/>
      </c>
      <c r="B13" s="4" t="str">
        <f>IF(ISBLANK(Tableau1425272912[[#This Row],[Durée estimée]]),"",Tableau1425272912[[#This Row],[Durée estimée]])</f>
        <v/>
      </c>
      <c r="C13" s="4" t="str">
        <f>IF(ISBLANK(Tableau1425272912[[#This Row],[Durée estimée2]]),"",Tableau1425272912[[#This Row],[Durée estimée2]])</f>
        <v/>
      </c>
      <c r="D13" s="4" t="str">
        <f>IF(ISBLANK(Tableau1425272912[[#This Row],[Durée estimée3]]),"",Tableau1425272912[[#This Row],[Durée estimée3]])</f>
        <v/>
      </c>
      <c r="E13" s="4" t="str">
        <f>IF(ISBLANK(Tableau1425272912[[#This Row],[Durée estimée4]]),"",Tableau1425272912[[#This Row],[Durée estimée4]])</f>
        <v/>
      </c>
      <c r="F13" s="43">
        <f>SUM(Tableau13262813[[#This Row],[Durée réelle en heures]:[Durée réelle en heures4]])</f>
        <v>0</v>
      </c>
      <c r="G13" s="12">
        <f>IF('Séance 5'!F13=0,0,IF('Séance 4'!F13=0,"Nouvelle tâche",(('Séance 5'!F13)/'Séance 4'!F13)))</f>
        <v>0</v>
      </c>
      <c r="I13" s="3"/>
      <c r="J13" s="43"/>
      <c r="K13" s="43"/>
      <c r="L13" s="43"/>
      <c r="M13" s="43"/>
      <c r="N13" s="4">
        <f>SUM(Tableau1425272914[[#This Row],[Durée estimée]:[Durée estimée4]])</f>
        <v>0</v>
      </c>
    </row>
    <row r="14" spans="1:14" x14ac:dyDescent="0.25">
      <c r="A14" s="4" t="str">
        <f>IF(ISBLANK(Tableau1425272912[[#This Row],[Description de la tâche]]),"",Tableau1425272912[[#This Row],[Description de la tâche]])</f>
        <v/>
      </c>
      <c r="B14" s="4" t="str">
        <f>IF(ISBLANK(Tableau1425272912[[#This Row],[Durée estimée]]),"",Tableau1425272912[[#This Row],[Durée estimée]])</f>
        <v/>
      </c>
      <c r="C14" s="4" t="str">
        <f>IF(ISBLANK(Tableau1425272912[[#This Row],[Durée estimée2]]),"",Tableau1425272912[[#This Row],[Durée estimée2]])</f>
        <v/>
      </c>
      <c r="D14" s="4" t="str">
        <f>IF(ISBLANK(Tableau1425272912[[#This Row],[Durée estimée3]]),"",Tableau1425272912[[#This Row],[Durée estimée3]])</f>
        <v/>
      </c>
      <c r="E14" s="4" t="str">
        <f>IF(ISBLANK(Tableau1425272912[[#This Row],[Durée estimée4]]),"",Tableau1425272912[[#This Row],[Durée estimée4]])</f>
        <v/>
      </c>
      <c r="F14" s="43">
        <f>SUM(Tableau13262813[[#This Row],[Durée réelle en heures]:[Durée réelle en heures4]])</f>
        <v>0</v>
      </c>
      <c r="G14" s="12">
        <f>IF('Séance 5'!F14=0,0,IF('Séance 4'!F14=0,"Nouvelle tâche",(('Séance 5'!F14)/'Séance 4'!F14)))</f>
        <v>0</v>
      </c>
      <c r="I14" s="3"/>
      <c r="J14" s="43"/>
      <c r="K14" s="43"/>
      <c r="L14" s="43"/>
      <c r="M14" s="43"/>
      <c r="N14" s="4">
        <f>SUM(Tableau1425272914[[#This Row],[Durée estimée]:[Durée estimée4]])</f>
        <v>0</v>
      </c>
    </row>
    <row r="15" spans="1:14" x14ac:dyDescent="0.25">
      <c r="A15" s="4" t="str">
        <f>IF(ISBLANK(Tableau1425272912[[#This Row],[Description de la tâche]]),"",Tableau1425272912[[#This Row],[Description de la tâche]])</f>
        <v/>
      </c>
      <c r="B15" s="4" t="str">
        <f>IF(ISBLANK(Tableau1425272912[[#This Row],[Durée estimée]]),"",Tableau1425272912[[#This Row],[Durée estimée]])</f>
        <v/>
      </c>
      <c r="C15" s="4" t="str">
        <f>IF(ISBLANK(Tableau1425272912[[#This Row],[Durée estimée2]]),"",Tableau1425272912[[#This Row],[Durée estimée2]])</f>
        <v/>
      </c>
      <c r="D15" s="4" t="str">
        <f>IF(ISBLANK(Tableau1425272912[[#This Row],[Durée estimée3]]),"",Tableau1425272912[[#This Row],[Durée estimée3]])</f>
        <v/>
      </c>
      <c r="E15" s="4" t="str">
        <f>IF(ISBLANK(Tableau1425272912[[#This Row],[Durée estimée4]]),"",Tableau1425272912[[#This Row],[Durée estimée4]])</f>
        <v/>
      </c>
      <c r="F15" s="43">
        <f>SUM(Tableau13262813[[#This Row],[Durée réelle en heures]:[Durée réelle en heures4]])</f>
        <v>0</v>
      </c>
      <c r="G15" s="12">
        <f>IF('Séance 5'!F15=0,0,IF('Séance 4'!F15=0,"Nouvelle tâche",(('Séance 5'!F15)/'Séance 4'!F15)))</f>
        <v>0</v>
      </c>
      <c r="I15" s="3"/>
      <c r="J15" s="43"/>
      <c r="K15" s="43"/>
      <c r="L15" s="43"/>
      <c r="M15" s="43"/>
      <c r="N15" s="4">
        <f>SUM(Tableau1425272914[[#This Row],[Durée estimée]:[Durée estimée4]])</f>
        <v>0</v>
      </c>
    </row>
    <row r="16" spans="1:14" x14ac:dyDescent="0.25">
      <c r="A16" s="4" t="str">
        <f>IF(ISBLANK(Tableau1425272912[[#This Row],[Description de la tâche]]),"",Tableau1425272912[[#This Row],[Description de la tâche]])</f>
        <v/>
      </c>
      <c r="B16" s="4" t="str">
        <f>IF(ISBLANK(Tableau1425272912[[#This Row],[Durée estimée]]),"",Tableau1425272912[[#This Row],[Durée estimée]])</f>
        <v/>
      </c>
      <c r="C16" s="4" t="str">
        <f>IF(ISBLANK(Tableau1425272912[[#This Row],[Durée estimée2]]),"",Tableau1425272912[[#This Row],[Durée estimée2]])</f>
        <v/>
      </c>
      <c r="D16" s="4" t="str">
        <f>IF(ISBLANK(Tableau1425272912[[#This Row],[Durée estimée3]]),"",Tableau1425272912[[#This Row],[Durée estimée3]])</f>
        <v/>
      </c>
      <c r="E16" s="4" t="str">
        <f>IF(ISBLANK(Tableau1425272912[[#This Row],[Durée estimée4]]),"",Tableau1425272912[[#This Row],[Durée estimée4]])</f>
        <v/>
      </c>
      <c r="F16" s="43">
        <f>SUM(Tableau13262813[[#This Row],[Durée réelle en heures]:[Durée réelle en heures4]])</f>
        <v>0</v>
      </c>
      <c r="G16" s="12">
        <f>IF('Séance 5'!F16=0,0,IF('Séance 4'!F16=0,"Nouvelle tâche",(('Séance 5'!F16)/'Séance 4'!F16)))</f>
        <v>0</v>
      </c>
      <c r="I16" s="3"/>
      <c r="J16" s="43"/>
      <c r="K16" s="43"/>
      <c r="L16" s="43"/>
      <c r="M16" s="43"/>
      <c r="N16" s="4">
        <f>SUM(Tableau1425272914[[#This Row],[Durée estimée]:[Durée estimée4]])</f>
        <v>0</v>
      </c>
    </row>
    <row r="17" spans="1:14" x14ac:dyDescent="0.25">
      <c r="A17" s="4" t="str">
        <f>IF(ISBLANK(Tableau1425272912[[#This Row],[Description de la tâche]]),"",Tableau1425272912[[#This Row],[Description de la tâche]])</f>
        <v/>
      </c>
      <c r="B17" s="4" t="str">
        <f>IF(ISBLANK(Tableau1425272912[[#This Row],[Durée estimée]]),"",Tableau1425272912[[#This Row],[Durée estimée]])</f>
        <v/>
      </c>
      <c r="C17" s="4" t="str">
        <f>IF(ISBLANK(Tableau1425272912[[#This Row],[Durée estimée2]]),"",Tableau1425272912[[#This Row],[Durée estimée2]])</f>
        <v/>
      </c>
      <c r="D17" s="4" t="str">
        <f>IF(ISBLANK(Tableau1425272912[[#This Row],[Durée estimée3]]),"",Tableau1425272912[[#This Row],[Durée estimée3]])</f>
        <v/>
      </c>
      <c r="E17" s="4" t="str">
        <f>IF(ISBLANK(Tableau1425272912[[#This Row],[Durée estimée4]]),"",Tableau1425272912[[#This Row],[Durée estimée4]])</f>
        <v/>
      </c>
      <c r="F17" s="43">
        <f>SUM(Tableau13262813[[#This Row],[Durée réelle en heures]:[Durée réelle en heures4]])</f>
        <v>0</v>
      </c>
      <c r="G17" s="12">
        <f>IF('Séance 5'!F17=0,0,IF('Séance 4'!F17=0,"Nouvelle tâche",(('Séance 5'!F17)/'Séance 4'!F17)))</f>
        <v>0</v>
      </c>
      <c r="I17" s="3"/>
      <c r="J17" s="43"/>
      <c r="K17" s="43"/>
      <c r="L17" s="43"/>
      <c r="M17" s="43"/>
      <c r="N17" s="4">
        <f>SUM(Tableau1425272914[[#This Row],[Durée estimée]:[Durée estimée4]])</f>
        <v>0</v>
      </c>
    </row>
    <row r="18" spans="1:14" x14ac:dyDescent="0.25">
      <c r="A18" s="4" t="str">
        <f>IF(ISBLANK(Tableau1425272912[[#This Row],[Description de la tâche]]),"",Tableau1425272912[[#This Row],[Description de la tâche]])</f>
        <v/>
      </c>
      <c r="B18" s="4" t="str">
        <f>IF(ISBLANK(Tableau1425272912[[#This Row],[Durée estimée]]),"",Tableau1425272912[[#This Row],[Durée estimée]])</f>
        <v/>
      </c>
      <c r="C18" s="4" t="str">
        <f>IF(ISBLANK(Tableau1425272912[[#This Row],[Durée estimée2]]),"",Tableau1425272912[[#This Row],[Durée estimée2]])</f>
        <v/>
      </c>
      <c r="D18" s="4" t="str">
        <f>IF(ISBLANK(Tableau1425272912[[#This Row],[Durée estimée3]]),"",Tableau1425272912[[#This Row],[Durée estimée3]])</f>
        <v/>
      </c>
      <c r="E18" s="4" t="str">
        <f>IF(ISBLANK(Tableau1425272912[[#This Row],[Durée estimée4]]),"",Tableau1425272912[[#This Row],[Durée estimée4]])</f>
        <v/>
      </c>
      <c r="F18" s="43">
        <f>SUM(Tableau13262813[[#This Row],[Durée réelle en heures]:[Durée réelle en heures4]])</f>
        <v>0</v>
      </c>
      <c r="G18" s="12">
        <f>IF('Séance 5'!F18=0,0,IF('Séance 4'!F18=0,"Nouvelle tâche",(('Séance 5'!F18)/'Séance 4'!F18)))</f>
        <v>0</v>
      </c>
      <c r="I18" s="3"/>
      <c r="J18" s="43"/>
      <c r="K18" s="43"/>
      <c r="L18" s="43"/>
      <c r="M18" s="43"/>
      <c r="N18" s="4">
        <f>SUM(Tableau1425272914[[#This Row],[Durée estimée]:[Durée estimée4]])</f>
        <v>0</v>
      </c>
    </row>
    <row r="19" spans="1:14" x14ac:dyDescent="0.25">
      <c r="A19" s="4" t="str">
        <f>IF(ISBLANK(Tableau1425272912[[#This Row],[Description de la tâche]]),"",Tableau1425272912[[#This Row],[Description de la tâche]])</f>
        <v/>
      </c>
      <c r="B19" s="4" t="str">
        <f>IF(ISBLANK(Tableau1425272912[[#This Row],[Durée estimée]]),"",Tableau1425272912[[#This Row],[Durée estimée]])</f>
        <v/>
      </c>
      <c r="C19" s="4" t="str">
        <f>IF(ISBLANK(Tableau1425272912[[#This Row],[Durée estimée2]]),"",Tableau1425272912[[#This Row],[Durée estimée2]])</f>
        <v/>
      </c>
      <c r="D19" s="4" t="str">
        <f>IF(ISBLANK(Tableau1425272912[[#This Row],[Durée estimée3]]),"",Tableau1425272912[[#This Row],[Durée estimée3]])</f>
        <v/>
      </c>
      <c r="E19" s="4" t="str">
        <f>IF(ISBLANK(Tableau1425272912[[#This Row],[Durée estimée4]]),"",Tableau1425272912[[#This Row],[Durée estimée4]])</f>
        <v/>
      </c>
      <c r="F19" s="43">
        <f>SUM(Tableau13262813[[#This Row],[Durée réelle en heures]:[Durée réelle en heures4]])</f>
        <v>0</v>
      </c>
      <c r="G19" s="12">
        <f>IF('Séance 5'!F19=0,0,IF('Séance 4'!F19=0,"Nouvelle tâche",(('Séance 5'!F19)/'Séance 4'!F19)))</f>
        <v>0</v>
      </c>
      <c r="I19" s="3"/>
      <c r="J19" s="43"/>
      <c r="K19" s="43"/>
      <c r="L19" s="43"/>
      <c r="M19" s="43"/>
      <c r="N19" s="4">
        <f>SUM(Tableau1425272914[[#This Row],[Durée estimée]:[Durée estimée4]])</f>
        <v>0</v>
      </c>
    </row>
    <row r="20" spans="1:14" x14ac:dyDescent="0.25">
      <c r="A20" s="4" t="str">
        <f>IF(ISBLANK(Tableau1425272912[[#This Row],[Description de la tâche]]),"",Tableau1425272912[[#This Row],[Description de la tâche]])</f>
        <v/>
      </c>
      <c r="B20" s="4" t="str">
        <f>IF(ISBLANK(Tableau1425272912[[#This Row],[Durée estimée]]),"",Tableau1425272912[[#This Row],[Durée estimée]])</f>
        <v/>
      </c>
      <c r="C20" s="4" t="str">
        <f>IF(ISBLANK(Tableau1425272912[[#This Row],[Durée estimée2]]),"",Tableau1425272912[[#This Row],[Durée estimée2]])</f>
        <v/>
      </c>
      <c r="D20" s="4" t="str">
        <f>IF(ISBLANK(Tableau1425272912[[#This Row],[Durée estimée3]]),"",Tableau1425272912[[#This Row],[Durée estimée3]])</f>
        <v/>
      </c>
      <c r="E20" s="4" t="str">
        <f>IF(ISBLANK(Tableau1425272912[[#This Row],[Durée estimée4]]),"",Tableau1425272912[[#This Row],[Durée estimée4]])</f>
        <v/>
      </c>
      <c r="F20" s="43">
        <f>SUM(Tableau13262813[[#This Row],[Durée réelle en heures]:[Durée réelle en heures4]])</f>
        <v>0</v>
      </c>
      <c r="G20" s="12">
        <f>IF('Séance 5'!F20=0,0,IF('Séance 4'!F20=0,"Nouvelle tâche",(('Séance 5'!F20)/'Séance 4'!F20)))</f>
        <v>0</v>
      </c>
      <c r="I20" s="3"/>
      <c r="J20" s="43"/>
      <c r="K20" s="43"/>
      <c r="L20" s="43"/>
      <c r="M20" s="43"/>
      <c r="N20" s="4">
        <f>SUM(Tableau1425272914[[#This Row],[Durée estimée]:[Durée estimée4]])</f>
        <v>0</v>
      </c>
    </row>
    <row r="21" spans="1:14" x14ac:dyDescent="0.25">
      <c r="A21" s="4" t="str">
        <f>IF(ISBLANK(Tableau1425272912[[#This Row],[Description de la tâche]]),"",Tableau1425272912[[#This Row],[Description de la tâche]])</f>
        <v/>
      </c>
      <c r="B21" s="4" t="str">
        <f>IF(ISBLANK(Tableau1425272912[[#This Row],[Durée estimée]]),"",Tableau1425272912[[#This Row],[Durée estimée]])</f>
        <v/>
      </c>
      <c r="C21" s="4" t="str">
        <f>IF(ISBLANK(Tableau1425272912[[#This Row],[Durée estimée2]]),"",Tableau1425272912[[#This Row],[Durée estimée2]])</f>
        <v/>
      </c>
      <c r="D21" s="4" t="str">
        <f>IF(ISBLANK(Tableau1425272912[[#This Row],[Durée estimée3]]),"",Tableau1425272912[[#This Row],[Durée estimée3]])</f>
        <v/>
      </c>
      <c r="E21" s="4" t="str">
        <f>IF(ISBLANK(Tableau1425272912[[#This Row],[Durée estimée4]]),"",Tableau1425272912[[#This Row],[Durée estimée4]])</f>
        <v/>
      </c>
      <c r="F21" s="43">
        <f>SUM(Tableau13262813[[#This Row],[Durée réelle en heures]:[Durée réelle en heures4]])</f>
        <v>0</v>
      </c>
      <c r="G21" s="12">
        <f>IF('Séance 5'!F21=0,0,IF('Séance 4'!F21=0,"Nouvelle tâche",(('Séance 5'!F21)/'Séance 4'!F21)))</f>
        <v>0</v>
      </c>
      <c r="I21" s="3"/>
      <c r="J21" s="43"/>
      <c r="K21" s="43"/>
      <c r="L21" s="43"/>
      <c r="M21" s="43"/>
      <c r="N21" s="4">
        <f>SUM(Tableau1425272914[[#This Row],[Durée estimée]:[Durée estimée4]])</f>
        <v>0</v>
      </c>
    </row>
    <row r="22" spans="1:14" x14ac:dyDescent="0.25">
      <c r="A22" s="4" t="str">
        <f>IF(ISBLANK(Tableau1425272912[[#This Row],[Description de la tâche]]),"",Tableau1425272912[[#This Row],[Description de la tâche]])</f>
        <v/>
      </c>
      <c r="B22" s="4" t="str">
        <f>IF(ISBLANK(Tableau1425272912[[#This Row],[Durée estimée]]),"",Tableau1425272912[[#This Row],[Durée estimée]])</f>
        <v/>
      </c>
      <c r="C22" s="4" t="str">
        <f>IF(ISBLANK(Tableau1425272912[[#This Row],[Durée estimée2]]),"",Tableau1425272912[[#This Row],[Durée estimée2]])</f>
        <v/>
      </c>
      <c r="D22" s="4" t="str">
        <f>IF(ISBLANK(Tableau1425272912[[#This Row],[Durée estimée3]]),"",Tableau1425272912[[#This Row],[Durée estimée3]])</f>
        <v/>
      </c>
      <c r="E22" s="4" t="str">
        <f>IF(ISBLANK(Tableau1425272912[[#This Row],[Durée estimée4]]),"",Tableau1425272912[[#This Row],[Durée estimée4]])</f>
        <v/>
      </c>
      <c r="F22" s="44">
        <f>SUM(Tableau13262813[[#This Row],[Durée réelle en heures]:[Durée réelle en heures4]])</f>
        <v>0</v>
      </c>
      <c r="G22" s="12">
        <f>IF('Séance 5'!F22=0,0,IF('Séance 4'!F22=0,"Nouvelle tâche",(('Séance 5'!F22)/'Séance 4'!F22)))</f>
        <v>0</v>
      </c>
      <c r="I22" s="19"/>
      <c r="J22" s="44"/>
      <c r="K22" s="44"/>
      <c r="L22" s="44"/>
      <c r="M22" s="44"/>
      <c r="N22" s="4">
        <f>SUM(Tableau1425272914[[#This Row],[Durée estimée]:[Durée estimée4]])</f>
        <v>0</v>
      </c>
    </row>
    <row r="23" spans="1:14" x14ac:dyDescent="0.25">
      <c r="A23" s="4" t="str">
        <f>IF(ISBLANK(Tableau1425272912[[#This Row],[Description de la tâche]]),"",Tableau1425272912[[#This Row],[Description de la tâche]])</f>
        <v/>
      </c>
      <c r="B23" s="4" t="str">
        <f>IF(ISBLANK(Tableau1425272912[[#This Row],[Durée estimée]]),"",Tableau1425272912[[#This Row],[Durée estimée]])</f>
        <v/>
      </c>
      <c r="C23" s="4" t="str">
        <f>IF(ISBLANK(Tableau1425272912[[#This Row],[Durée estimée2]]),"",Tableau1425272912[[#This Row],[Durée estimée2]])</f>
        <v/>
      </c>
      <c r="D23" s="4" t="str">
        <f>IF(ISBLANK(Tableau1425272912[[#This Row],[Durée estimée3]]),"",Tableau1425272912[[#This Row],[Durée estimée3]])</f>
        <v/>
      </c>
      <c r="E23" s="4" t="str">
        <f>IF(ISBLANK(Tableau1425272912[[#This Row],[Durée estimée4]]),"",Tableau1425272912[[#This Row],[Durée estimée4]])</f>
        <v/>
      </c>
      <c r="F23" s="43">
        <f>SUM(Tableau13262813[[#This Row],[Durée réelle en heures]:[Durée réelle en heures4]])</f>
        <v>0</v>
      </c>
      <c r="G23" s="12">
        <f>IF('Séance 5'!F23=0,0,IF('Séance 4'!F23=0,"Nouvelle tâche",(('Séance 5'!F23)/'Séance 4'!F23)))</f>
        <v>0</v>
      </c>
      <c r="I23" s="3"/>
      <c r="J23" s="43"/>
      <c r="K23" s="43"/>
      <c r="L23" s="43"/>
      <c r="M23" s="43"/>
      <c r="N23" s="4">
        <f>SUM(Tableau1425272914[[#This Row],[Durée estimée]:[Durée estimée4]])</f>
        <v>0</v>
      </c>
    </row>
    <row r="24" spans="1:14" x14ac:dyDescent="0.25">
      <c r="A24" s="4" t="str">
        <f>IF(ISBLANK(Tableau1425272912[[#This Row],[Description de la tâche]]),"",Tableau1425272912[[#This Row],[Description de la tâche]])</f>
        <v/>
      </c>
      <c r="B24" s="4" t="str">
        <f>IF(ISBLANK(Tableau1425272912[[#This Row],[Durée estimée]]),"",Tableau1425272912[[#This Row],[Durée estimée]])</f>
        <v/>
      </c>
      <c r="C24" s="4" t="str">
        <f>IF(ISBLANK(Tableau1425272912[[#This Row],[Durée estimée2]]),"",Tableau1425272912[[#This Row],[Durée estimée2]])</f>
        <v/>
      </c>
      <c r="D24" s="4" t="str">
        <f>IF(ISBLANK(Tableau1425272912[[#This Row],[Durée estimée3]]),"",Tableau1425272912[[#This Row],[Durée estimée3]])</f>
        <v/>
      </c>
      <c r="E24" s="4" t="str">
        <f>IF(ISBLANK(Tableau1425272912[[#This Row],[Durée estimée4]]),"",Tableau1425272912[[#This Row],[Durée estimée4]])</f>
        <v/>
      </c>
      <c r="F24" s="43">
        <f>SUM(Tableau13262813[[#This Row],[Durée réelle en heures]:[Durée réelle en heures4]])</f>
        <v>0</v>
      </c>
      <c r="G24" s="12">
        <f>IF('Séance 5'!F24=0,0,IF('Séance 4'!F25=0,"Nouvelle tâche",(('Séance 5'!F24)/'Séance 4'!F25)))</f>
        <v>0</v>
      </c>
      <c r="I24" s="3"/>
      <c r="J24" s="43"/>
      <c r="K24" s="43"/>
      <c r="L24" s="43"/>
      <c r="M24" s="43"/>
      <c r="N24" s="4">
        <f>SUM(Tableau1425272914[[#This Row],[Durée estimée]:[Durée estimée4]])</f>
        <v>0</v>
      </c>
    </row>
    <row r="25" spans="1:14" ht="15.75" thickBot="1" x14ac:dyDescent="0.3">
      <c r="A25" s="4" t="str">
        <f>IF(ISBLANK(Tableau1425272912[[#This Row],[Description de la tâche]]),"",Tableau1425272912[[#This Row],[Description de la tâche]])</f>
        <v/>
      </c>
      <c r="B25" s="4" t="str">
        <f>IF(ISBLANK(Tableau1425272912[[#This Row],[Durée estimée]]),"",Tableau1425272912[[#This Row],[Durée estimée]])</f>
        <v/>
      </c>
      <c r="C25" s="4" t="str">
        <f>IF(ISBLANK(Tableau1425272912[[#This Row],[Durée estimée2]]),"",Tableau1425272912[[#This Row],[Durée estimée2]])</f>
        <v/>
      </c>
      <c r="D25" s="4" t="str">
        <f>IF(ISBLANK(Tableau1425272912[[#This Row],[Durée estimée3]]),"",Tableau1425272912[[#This Row],[Durée estimée3]])</f>
        <v/>
      </c>
      <c r="E25" s="4" t="str">
        <f>IF(ISBLANK(Tableau1425272912[[#This Row],[Durée estimée4]]),"",Tableau1425272912[[#This Row],[Durée estimée4]])</f>
        <v/>
      </c>
      <c r="F25" s="44">
        <f>SUM(Tableau13262813[[#This Row],[Durée réelle en heures]:[Durée réelle en heures4]])</f>
        <v>0</v>
      </c>
      <c r="G25" s="12">
        <f>IF('Séance 5'!F25=0,0,IF('Séance 4'!F26=0,"Nouvelle tâche",(('Séance 5'!F25)/'Séance 4'!F26)))</f>
        <v>0</v>
      </c>
      <c r="I25" s="19"/>
      <c r="J25" s="44"/>
      <c r="K25" s="44"/>
      <c r="L25" s="44"/>
      <c r="M25" s="44"/>
      <c r="N25" s="4">
        <f>SUM(Tableau1425272914[[#This Row],[Durée estimée]:[Durée estimée4]])</f>
        <v>0</v>
      </c>
    </row>
    <row r="26" spans="1:14" x14ac:dyDescent="0.25">
      <c r="A26" s="62" t="s">
        <v>13</v>
      </c>
      <c r="B26" s="63">
        <f>SUM(B3:B25)</f>
        <v>0</v>
      </c>
      <c r="C26" s="63">
        <f>SUM(C3:C25)</f>
        <v>0</v>
      </c>
      <c r="D26" s="63">
        <f>SUM(D3:D25)</f>
        <v>0</v>
      </c>
      <c r="E26" s="63">
        <f>SUM(E3:E25)</f>
        <v>0</v>
      </c>
      <c r="F26" s="48">
        <f>SUM(F3:F25)</f>
        <v>0</v>
      </c>
      <c r="G26" s="20">
        <f>SUM(Tableau13262813[[#This Row],[Durée réelle en heures]:[Total réel]])</f>
        <v>0</v>
      </c>
      <c r="I26" s="16" t="s">
        <v>18</v>
      </c>
      <c r="J26" s="45">
        <f>SUM(J3:J25)</f>
        <v>0</v>
      </c>
      <c r="K26" s="45">
        <f>SUM(K3:K25)</f>
        <v>0</v>
      </c>
      <c r="L26" s="45">
        <f>SUM(L3:L25)</f>
        <v>0</v>
      </c>
      <c r="M26" s="45">
        <f>SUM(M3:M25)</f>
        <v>0</v>
      </c>
      <c r="N26" s="21">
        <f>SUM(N3:N25)</f>
        <v>0</v>
      </c>
    </row>
    <row r="27" spans="1:14" ht="27" thickBot="1" x14ac:dyDescent="0.3">
      <c r="A27" s="13" t="s">
        <v>14</v>
      </c>
      <c r="B27" s="50" t="str">
        <f>IF($G$26=0,"Non renseigné",B26/$G$26*100)</f>
        <v>Non renseigné</v>
      </c>
      <c r="C27" s="50" t="str">
        <f>IF($G$26=0,"Non renseigné",C26/$G$26*100)</f>
        <v>Non renseigné</v>
      </c>
      <c r="D27" s="50" t="str">
        <f>IF($G$26=0,"Non renseigné",D26/$G$26*100)</f>
        <v>Non renseigné</v>
      </c>
      <c r="E27" s="50" t="str">
        <f>IF($G$26=0,"Non renseigné",E26/$G$26*100)</f>
        <v>Non renseigné</v>
      </c>
      <c r="F27" s="47">
        <f>SUM(Tableau13262813[[#This Row],[Durée réelle en heures]:[Durée réelle en heures4]])</f>
        <v>0</v>
      </c>
      <c r="G27" s="14">
        <f>SUM(Tableau13262813[[#This Row],[Durée réelle en heures]:[Total réel]])</f>
        <v>0</v>
      </c>
      <c r="H27" s="1"/>
      <c r="I27" s="22" t="s">
        <v>19</v>
      </c>
      <c r="J27" s="46" t="str">
        <f>IF($N$26=0,"Non renseigné",J26/$N$26*100)</f>
        <v>Non renseigné</v>
      </c>
      <c r="K27" s="46" t="str">
        <f>IF($N$26=0,"Non renseigné",K26/$N$26*100)</f>
        <v>Non renseigné</v>
      </c>
      <c r="L27" s="46" t="str">
        <f t="shared" ref="L27:M27" si="0">IF($N$26=0,"Non renseigné",L26/$N$26*100)</f>
        <v>Non renseigné</v>
      </c>
      <c r="M27" s="46" t="str">
        <f t="shared" si="0"/>
        <v>Non renseigné</v>
      </c>
      <c r="N27" s="23">
        <f>SUM(Tableau1425272914[[#This Row],[Durée estimée]:[Durée estimée4]])</f>
        <v>0</v>
      </c>
    </row>
    <row r="28" spans="1:14" x14ac:dyDescent="0.25">
      <c r="A28" s="1"/>
      <c r="B28" s="1"/>
      <c r="C28" s="1"/>
      <c r="D28" s="1"/>
      <c r="E28" s="1"/>
      <c r="F28" s="1"/>
      <c r="G28" s="1"/>
    </row>
    <row r="29" spans="1:14" x14ac:dyDescent="0.25">
      <c r="A29" s="1"/>
      <c r="B29" s="1"/>
      <c r="C29" s="1"/>
      <c r="D29" s="1"/>
      <c r="E29" s="1"/>
      <c r="F29" s="1"/>
      <c r="G29" s="1"/>
    </row>
    <row r="36" spans="1:7" x14ac:dyDescent="0.25">
      <c r="A36" s="1"/>
      <c r="B36" s="1"/>
      <c r="C36" s="1"/>
      <c r="D36" s="1"/>
      <c r="E36" s="1"/>
      <c r="F36" s="1"/>
      <c r="G36" s="1"/>
    </row>
  </sheetData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0C0E3-4ECA-4B44-8623-FDFC270D110E}">
  <dimension ref="A1:N36"/>
  <sheetViews>
    <sheetView zoomScale="85" zoomScaleNormal="85" workbookViewId="0">
      <selection activeCell="A3" sqref="A3"/>
    </sheetView>
  </sheetViews>
  <sheetFormatPr baseColWidth="10" defaultRowHeight="15" x14ac:dyDescent="0.25"/>
  <cols>
    <col min="1" max="1" width="22.7109375" customWidth="1"/>
    <col min="2" max="2" width="13" customWidth="1"/>
    <col min="9" max="9" width="24.42578125" customWidth="1"/>
    <col min="11" max="11" width="13.140625" customWidth="1"/>
  </cols>
  <sheetData>
    <row r="1" spans="1:14" ht="26.25" x14ac:dyDescent="0.25">
      <c r="A1" s="7" t="s">
        <v>16</v>
      </c>
      <c r="B1" s="8" t="str">
        <f>Synthèse!D2</f>
        <v>Nom1</v>
      </c>
      <c r="C1" s="8" t="str">
        <f>Synthèse!D3</f>
        <v>Nom2</v>
      </c>
      <c r="D1" s="8" t="str">
        <f>Synthèse!D4</f>
        <v>Nom3</v>
      </c>
      <c r="E1" s="8" t="str">
        <f>Synthèse!D5</f>
        <v>Nom4</v>
      </c>
      <c r="F1" s="8"/>
      <c r="G1" s="9"/>
      <c r="I1" s="16" t="s">
        <v>17</v>
      </c>
      <c r="J1" s="17" t="str">
        <f>Synthèse!$D2</f>
        <v>Nom1</v>
      </c>
      <c r="K1" s="17" t="str">
        <f>Synthèse!$D3</f>
        <v>Nom2</v>
      </c>
      <c r="L1" s="17" t="str">
        <f>Synthèse!$D4</f>
        <v>Nom3</v>
      </c>
      <c r="M1" s="17" t="str">
        <f>Synthèse!$D5</f>
        <v>Nom4</v>
      </c>
      <c r="N1" s="17"/>
    </row>
    <row r="2" spans="1:14" ht="51.75" x14ac:dyDescent="0.25">
      <c r="A2" s="10" t="s">
        <v>38</v>
      </c>
      <c r="B2" s="6" t="s">
        <v>39</v>
      </c>
      <c r="C2" s="6" t="s">
        <v>40</v>
      </c>
      <c r="D2" s="6" t="s">
        <v>41</v>
      </c>
      <c r="E2" s="6" t="s">
        <v>42</v>
      </c>
      <c r="F2" s="6" t="s">
        <v>36</v>
      </c>
      <c r="G2" s="11" t="s">
        <v>37</v>
      </c>
      <c r="I2" s="18" t="s">
        <v>38</v>
      </c>
      <c r="J2" s="15" t="s">
        <v>32</v>
      </c>
      <c r="K2" s="15" t="s">
        <v>33</v>
      </c>
      <c r="L2" s="15" t="s">
        <v>34</v>
      </c>
      <c r="M2" s="15" t="s">
        <v>35</v>
      </c>
      <c r="N2" s="15" t="s">
        <v>2</v>
      </c>
    </row>
    <row r="3" spans="1:14" x14ac:dyDescent="0.25">
      <c r="A3" s="4" t="str">
        <f>IF(ISBLANK(Tableau1425272914[[#This Row],[Description de la tâche]]),"",Tableau1425272914[[#This Row],[Description de la tâche]])</f>
        <v/>
      </c>
      <c r="B3" s="4" t="str">
        <f>IF(ISBLANK(Tableau1425272914[[#This Row],[Durée estimée]]),"",Tableau1425272914[[#This Row],[Durée estimée]])</f>
        <v/>
      </c>
      <c r="C3" s="4" t="str">
        <f>IF(ISBLANK(Tableau1425272914[[#This Row],[Durée estimée2]]),"",Tableau1425272914[[#This Row],[Durée estimée2]])</f>
        <v/>
      </c>
      <c r="D3" s="4" t="str">
        <f>IF(ISBLANK(Tableau1425272914[[#This Row],[Durée estimée3]]),"",Tableau1425272914[[#This Row],[Durée estimée3]])</f>
        <v/>
      </c>
      <c r="E3" s="4" t="str">
        <f>IF(ISBLANK(Tableau1425272914[[#This Row],[Durée estimée4]]),"",Tableau1425272914[[#This Row],[Durée estimée4]])</f>
        <v/>
      </c>
      <c r="F3" s="43">
        <f>SUM(Tableau13262815[[#This Row],[Durée réelle en heures]:[Durée réelle en heures4]])</f>
        <v>0</v>
      </c>
      <c r="G3" s="12">
        <f>IF('Séance 5'!F3=0,0,IF('Séance 4'!F3=0,"Nouvelle tâche",(('Séance 5'!F3)/'Séance 4'!F3)))</f>
        <v>0</v>
      </c>
      <c r="I3" s="3"/>
      <c r="J3" s="43"/>
      <c r="K3" s="43"/>
      <c r="L3" s="43"/>
      <c r="M3" s="43"/>
      <c r="N3" s="4">
        <f>SUM(Tableau1425272916[[#This Row],[Durée estimée]:[Durée estimée4]])</f>
        <v>0</v>
      </c>
    </row>
    <row r="4" spans="1:14" x14ac:dyDescent="0.25">
      <c r="A4" s="4" t="str">
        <f>IF(ISBLANK(Tableau1425272914[[#This Row],[Description de la tâche]]),"",Tableau1425272914[[#This Row],[Description de la tâche]])</f>
        <v/>
      </c>
      <c r="B4" s="4" t="str">
        <f>IF(ISBLANK(Tableau1425272914[[#This Row],[Durée estimée]]),"",Tableau1425272914[[#This Row],[Durée estimée]])</f>
        <v/>
      </c>
      <c r="C4" s="4" t="str">
        <f>IF(ISBLANK(Tableau1425272914[[#This Row],[Durée estimée2]]),"",Tableau1425272914[[#This Row],[Durée estimée2]])</f>
        <v/>
      </c>
      <c r="D4" s="4" t="str">
        <f>IF(ISBLANK(Tableau1425272914[[#This Row],[Durée estimée3]]),"",Tableau1425272914[[#This Row],[Durée estimée3]])</f>
        <v/>
      </c>
      <c r="E4" s="4" t="str">
        <f>IF(ISBLANK(Tableau1425272914[[#This Row],[Durée estimée4]]),"",Tableau1425272914[[#This Row],[Durée estimée4]])</f>
        <v/>
      </c>
      <c r="F4" s="43">
        <f>SUM(Tableau13262815[[#This Row],[Durée réelle en heures]:[Durée réelle en heures4]])</f>
        <v>0</v>
      </c>
      <c r="G4" s="12">
        <f>IF('Séance 5'!F4=0,0,IF('Séance 4'!F4=0,"Nouvelle tâche",(('Séance 5'!F4)/'Séance 4'!F4)))</f>
        <v>0</v>
      </c>
      <c r="I4" s="3"/>
      <c r="J4" s="43"/>
      <c r="K4" s="43"/>
      <c r="L4" s="43"/>
      <c r="M4" s="43"/>
      <c r="N4" s="4">
        <f>SUM(Tableau1425272916[[#This Row],[Durée estimée]:[Durée estimée4]])</f>
        <v>0</v>
      </c>
    </row>
    <row r="5" spans="1:14" x14ac:dyDescent="0.25">
      <c r="A5" s="4" t="str">
        <f>IF(ISBLANK(Tableau1425272914[[#This Row],[Description de la tâche]]),"",Tableau1425272914[[#This Row],[Description de la tâche]])</f>
        <v/>
      </c>
      <c r="B5" s="4" t="str">
        <f>IF(ISBLANK(Tableau1425272914[[#This Row],[Durée estimée]]),"",Tableau1425272914[[#This Row],[Durée estimée]])</f>
        <v/>
      </c>
      <c r="C5" s="4" t="str">
        <f>IF(ISBLANK(Tableau1425272914[[#This Row],[Durée estimée2]]),"",Tableau1425272914[[#This Row],[Durée estimée2]])</f>
        <v/>
      </c>
      <c r="D5" s="4" t="str">
        <f>IF(ISBLANK(Tableau1425272914[[#This Row],[Durée estimée3]]),"",Tableau1425272914[[#This Row],[Durée estimée3]])</f>
        <v/>
      </c>
      <c r="E5" s="4" t="str">
        <f>IF(ISBLANK(Tableau1425272914[[#This Row],[Durée estimée4]]),"",Tableau1425272914[[#This Row],[Durée estimée4]])</f>
        <v/>
      </c>
      <c r="F5" s="43">
        <f>SUM(Tableau13262815[[#This Row],[Durée réelle en heures]:[Durée réelle en heures4]])</f>
        <v>0</v>
      </c>
      <c r="G5" s="12">
        <f>IF('Séance 5'!F5=0,0,IF('Séance 4'!F5=0,"Nouvelle tâche",(('Séance 5'!F5)/'Séance 4'!F5)))</f>
        <v>0</v>
      </c>
      <c r="I5" s="3"/>
      <c r="J5" s="43"/>
      <c r="K5" s="43"/>
      <c r="L5" s="43"/>
      <c r="M5" s="43"/>
      <c r="N5" s="4">
        <f>SUM(Tableau1425272916[[#This Row],[Durée estimée]:[Durée estimée4]])</f>
        <v>0</v>
      </c>
    </row>
    <row r="6" spans="1:14" x14ac:dyDescent="0.25">
      <c r="A6" s="4" t="str">
        <f>IF(ISBLANK(Tableau1425272914[[#This Row],[Description de la tâche]]),"",Tableau1425272914[[#This Row],[Description de la tâche]])</f>
        <v/>
      </c>
      <c r="B6" s="4" t="str">
        <f>IF(ISBLANK(Tableau1425272914[[#This Row],[Durée estimée]]),"",Tableau1425272914[[#This Row],[Durée estimée]])</f>
        <v/>
      </c>
      <c r="C6" s="4" t="str">
        <f>IF(ISBLANK(Tableau1425272914[[#This Row],[Durée estimée2]]),"",Tableau1425272914[[#This Row],[Durée estimée2]])</f>
        <v/>
      </c>
      <c r="D6" s="4" t="str">
        <f>IF(ISBLANK(Tableau1425272914[[#This Row],[Durée estimée3]]),"",Tableau1425272914[[#This Row],[Durée estimée3]])</f>
        <v/>
      </c>
      <c r="E6" s="4" t="str">
        <f>IF(ISBLANK(Tableau1425272914[[#This Row],[Durée estimée4]]),"",Tableau1425272914[[#This Row],[Durée estimée4]])</f>
        <v/>
      </c>
      <c r="F6" s="43">
        <f>SUM(Tableau13262815[[#This Row],[Durée réelle en heures]:[Durée réelle en heures4]])</f>
        <v>0</v>
      </c>
      <c r="G6" s="12">
        <f>IF('Séance 5'!F6=0,0,IF('Séance 4'!F6=0,"Nouvelle tâche",(('Séance 5'!F6)/'Séance 4'!F6)))</f>
        <v>0</v>
      </c>
      <c r="I6" s="3"/>
      <c r="J6" s="43"/>
      <c r="K6" s="43"/>
      <c r="L6" s="43"/>
      <c r="M6" s="43"/>
      <c r="N6" s="4">
        <f>SUM(Tableau1425272916[[#This Row],[Durée estimée]:[Durée estimée4]])</f>
        <v>0</v>
      </c>
    </row>
    <row r="7" spans="1:14" x14ac:dyDescent="0.25">
      <c r="A7" s="4" t="str">
        <f>IF(ISBLANK(Tableau1425272914[[#This Row],[Description de la tâche]]),"",Tableau1425272914[[#This Row],[Description de la tâche]])</f>
        <v/>
      </c>
      <c r="B7" s="4" t="str">
        <f>IF(ISBLANK(Tableau1425272914[[#This Row],[Durée estimée]]),"",Tableau1425272914[[#This Row],[Durée estimée]])</f>
        <v/>
      </c>
      <c r="C7" s="4" t="str">
        <f>IF(ISBLANK(Tableau1425272914[[#This Row],[Durée estimée2]]),"",Tableau1425272914[[#This Row],[Durée estimée2]])</f>
        <v/>
      </c>
      <c r="D7" s="4" t="str">
        <f>IF(ISBLANK(Tableau1425272914[[#This Row],[Durée estimée3]]),"",Tableau1425272914[[#This Row],[Durée estimée3]])</f>
        <v/>
      </c>
      <c r="E7" s="4" t="str">
        <f>IF(ISBLANK(Tableau1425272914[[#This Row],[Durée estimée4]]),"",Tableau1425272914[[#This Row],[Durée estimée4]])</f>
        <v/>
      </c>
      <c r="F7" s="43">
        <f>SUM(Tableau13262815[[#This Row],[Durée réelle en heures]:[Durée réelle en heures4]])</f>
        <v>0</v>
      </c>
      <c r="G7" s="12">
        <f>IF('Séance 5'!F7=0,0,IF('Séance 4'!F7=0,"Nouvelle tâche",(('Séance 5'!F7)/'Séance 4'!F7)))</f>
        <v>0</v>
      </c>
      <c r="I7" s="3"/>
      <c r="J7" s="43"/>
      <c r="K7" s="43"/>
      <c r="L7" s="43"/>
      <c r="M7" s="43"/>
      <c r="N7" s="4">
        <f>SUM(Tableau1425272916[[#This Row],[Durée estimée]:[Durée estimée4]])</f>
        <v>0</v>
      </c>
    </row>
    <row r="8" spans="1:14" x14ac:dyDescent="0.25">
      <c r="A8" s="4" t="str">
        <f>IF(ISBLANK(Tableau1425272914[[#This Row],[Description de la tâche]]),"",Tableau1425272914[[#This Row],[Description de la tâche]])</f>
        <v/>
      </c>
      <c r="B8" s="4" t="str">
        <f>IF(ISBLANK(Tableau1425272914[[#This Row],[Durée estimée]]),"",Tableau1425272914[[#This Row],[Durée estimée]])</f>
        <v/>
      </c>
      <c r="C8" s="4" t="str">
        <f>IF(ISBLANK(Tableau1425272914[[#This Row],[Durée estimée2]]),"",Tableau1425272914[[#This Row],[Durée estimée2]])</f>
        <v/>
      </c>
      <c r="D8" s="4" t="str">
        <f>IF(ISBLANK(Tableau1425272914[[#This Row],[Durée estimée3]]),"",Tableau1425272914[[#This Row],[Durée estimée3]])</f>
        <v/>
      </c>
      <c r="E8" s="4" t="str">
        <f>IF(ISBLANK(Tableau1425272914[[#This Row],[Durée estimée4]]),"",Tableau1425272914[[#This Row],[Durée estimée4]])</f>
        <v/>
      </c>
      <c r="F8" s="43">
        <f>SUM(Tableau13262815[[#This Row],[Durée réelle en heures]:[Durée réelle en heures4]])</f>
        <v>0</v>
      </c>
      <c r="G8" s="12">
        <f>IF('Séance 5'!F8=0,0,IF('Séance 4'!F8=0,"Nouvelle tâche",(('Séance 5'!F8)/'Séance 4'!F8)))</f>
        <v>0</v>
      </c>
      <c r="I8" s="3"/>
      <c r="J8" s="43"/>
      <c r="K8" s="43"/>
      <c r="L8" s="43"/>
      <c r="M8" s="43"/>
      <c r="N8" s="4">
        <f>SUM(Tableau1425272916[[#This Row],[Durée estimée]:[Durée estimée4]])</f>
        <v>0</v>
      </c>
    </row>
    <row r="9" spans="1:14" x14ac:dyDescent="0.25">
      <c r="A9" s="4" t="str">
        <f>IF(ISBLANK(Tableau1425272914[[#This Row],[Description de la tâche]]),"",Tableau1425272914[[#This Row],[Description de la tâche]])</f>
        <v/>
      </c>
      <c r="B9" s="4" t="str">
        <f>IF(ISBLANK(Tableau1425272914[[#This Row],[Durée estimée]]),"",Tableau1425272914[[#This Row],[Durée estimée]])</f>
        <v/>
      </c>
      <c r="C9" s="4" t="str">
        <f>IF(ISBLANK(Tableau1425272914[[#This Row],[Durée estimée2]]),"",Tableau1425272914[[#This Row],[Durée estimée2]])</f>
        <v/>
      </c>
      <c r="D9" s="4" t="str">
        <f>IF(ISBLANK(Tableau1425272914[[#This Row],[Durée estimée3]]),"",Tableau1425272914[[#This Row],[Durée estimée3]])</f>
        <v/>
      </c>
      <c r="E9" s="4" t="str">
        <f>IF(ISBLANK(Tableau1425272914[[#This Row],[Durée estimée4]]),"",Tableau1425272914[[#This Row],[Durée estimée4]])</f>
        <v/>
      </c>
      <c r="F9" s="43">
        <f>SUM(Tableau13262815[[#This Row],[Durée réelle en heures]:[Durée réelle en heures4]])</f>
        <v>0</v>
      </c>
      <c r="G9" s="12">
        <f>IF('Séance 5'!F9=0,0,IF('Séance 4'!F9=0,"Nouvelle tâche",(('Séance 5'!F9)/'Séance 4'!F9)))</f>
        <v>0</v>
      </c>
      <c r="I9" s="3"/>
      <c r="J9" s="43"/>
      <c r="K9" s="43"/>
      <c r="L9" s="43"/>
      <c r="M9" s="43"/>
      <c r="N9" s="4">
        <f>SUM(Tableau1425272916[[#This Row],[Durée estimée]:[Durée estimée4]])</f>
        <v>0</v>
      </c>
    </row>
    <row r="10" spans="1:14" x14ac:dyDescent="0.25">
      <c r="A10" s="4" t="str">
        <f>IF(ISBLANK(Tableau1425272914[[#This Row],[Description de la tâche]]),"",Tableau1425272914[[#This Row],[Description de la tâche]])</f>
        <v/>
      </c>
      <c r="B10" s="4" t="str">
        <f>IF(ISBLANK(Tableau1425272914[[#This Row],[Durée estimée]]),"",Tableau1425272914[[#This Row],[Durée estimée]])</f>
        <v/>
      </c>
      <c r="C10" s="4" t="str">
        <f>IF(ISBLANK(Tableau1425272914[[#This Row],[Durée estimée2]]),"",Tableau1425272914[[#This Row],[Durée estimée2]])</f>
        <v/>
      </c>
      <c r="D10" s="4" t="str">
        <f>IF(ISBLANK(Tableau1425272914[[#This Row],[Durée estimée3]]),"",Tableau1425272914[[#This Row],[Durée estimée3]])</f>
        <v/>
      </c>
      <c r="E10" s="4" t="str">
        <f>IF(ISBLANK(Tableau1425272914[[#This Row],[Durée estimée4]]),"",Tableau1425272914[[#This Row],[Durée estimée4]])</f>
        <v/>
      </c>
      <c r="F10" s="43">
        <f>SUM(Tableau13262815[[#This Row],[Durée réelle en heures]:[Durée réelle en heures4]])</f>
        <v>0</v>
      </c>
      <c r="G10" s="12">
        <f>IF('Séance 5'!F10=0,0,IF('Séance 4'!F10=0,"Nouvelle tâche",(('Séance 5'!F10)/'Séance 4'!F10)))</f>
        <v>0</v>
      </c>
      <c r="I10" s="3"/>
      <c r="J10" s="43"/>
      <c r="K10" s="43"/>
      <c r="L10" s="43"/>
      <c r="M10" s="43"/>
      <c r="N10" s="4">
        <f>SUM(Tableau1425272916[[#This Row],[Durée estimée]:[Durée estimée4]])</f>
        <v>0</v>
      </c>
    </row>
    <row r="11" spans="1:14" x14ac:dyDescent="0.25">
      <c r="A11" s="4" t="str">
        <f>IF(ISBLANK(Tableau1425272914[[#This Row],[Description de la tâche]]),"",Tableau1425272914[[#This Row],[Description de la tâche]])</f>
        <v/>
      </c>
      <c r="B11" s="4" t="str">
        <f>IF(ISBLANK(Tableau1425272914[[#This Row],[Durée estimée]]),"",Tableau1425272914[[#This Row],[Durée estimée]])</f>
        <v/>
      </c>
      <c r="C11" s="4" t="str">
        <f>IF(ISBLANK(Tableau1425272914[[#This Row],[Durée estimée2]]),"",Tableau1425272914[[#This Row],[Durée estimée2]])</f>
        <v/>
      </c>
      <c r="D11" s="4" t="str">
        <f>IF(ISBLANK(Tableau1425272914[[#This Row],[Durée estimée3]]),"",Tableau1425272914[[#This Row],[Durée estimée3]])</f>
        <v/>
      </c>
      <c r="E11" s="4" t="str">
        <f>IF(ISBLANK(Tableau1425272914[[#This Row],[Durée estimée4]]),"",Tableau1425272914[[#This Row],[Durée estimée4]])</f>
        <v/>
      </c>
      <c r="F11" s="43">
        <f>SUM(Tableau13262815[[#This Row],[Durée réelle en heures]:[Durée réelle en heures4]])</f>
        <v>0</v>
      </c>
      <c r="G11" s="12">
        <f>IF('Séance 5'!F11=0,0,IF('Séance 4'!F11=0,"Nouvelle tâche",(('Séance 5'!F11)/'Séance 4'!F11)))</f>
        <v>0</v>
      </c>
      <c r="I11" s="3"/>
      <c r="J11" s="43"/>
      <c r="K11" s="43"/>
      <c r="L11" s="43"/>
      <c r="M11" s="43"/>
      <c r="N11" s="4">
        <f>SUM(Tableau1425272916[[#This Row],[Durée estimée]:[Durée estimée4]])</f>
        <v>0</v>
      </c>
    </row>
    <row r="12" spans="1:14" x14ac:dyDescent="0.25">
      <c r="A12" s="4" t="str">
        <f>IF(ISBLANK(Tableau1425272914[[#This Row],[Description de la tâche]]),"",Tableau1425272914[[#This Row],[Description de la tâche]])</f>
        <v/>
      </c>
      <c r="B12" s="4" t="str">
        <f>IF(ISBLANK(Tableau1425272914[[#This Row],[Durée estimée]]),"",Tableau1425272914[[#This Row],[Durée estimée]])</f>
        <v/>
      </c>
      <c r="C12" s="4" t="str">
        <f>IF(ISBLANK(Tableau1425272914[[#This Row],[Durée estimée2]]),"",Tableau1425272914[[#This Row],[Durée estimée2]])</f>
        <v/>
      </c>
      <c r="D12" s="4" t="str">
        <f>IF(ISBLANK(Tableau1425272914[[#This Row],[Durée estimée3]]),"",Tableau1425272914[[#This Row],[Durée estimée3]])</f>
        <v/>
      </c>
      <c r="E12" s="4" t="str">
        <f>IF(ISBLANK(Tableau1425272914[[#This Row],[Durée estimée4]]),"",Tableau1425272914[[#This Row],[Durée estimée4]])</f>
        <v/>
      </c>
      <c r="F12" s="43">
        <f>SUM(Tableau13262815[[#This Row],[Durée réelle en heures]:[Durée réelle en heures4]])</f>
        <v>0</v>
      </c>
      <c r="G12" s="12">
        <f>IF('Séance 5'!F12=0,0,IF('Séance 4'!F12=0,"Nouvelle tâche",(('Séance 5'!F12)/'Séance 4'!F12)))</f>
        <v>0</v>
      </c>
      <c r="I12" s="3"/>
      <c r="J12" s="43"/>
      <c r="K12" s="43"/>
      <c r="L12" s="43"/>
      <c r="M12" s="43"/>
      <c r="N12" s="4">
        <f>SUM(Tableau1425272916[[#This Row],[Durée estimée]:[Durée estimée4]])</f>
        <v>0</v>
      </c>
    </row>
    <row r="13" spans="1:14" x14ac:dyDescent="0.25">
      <c r="A13" s="4" t="str">
        <f>IF(ISBLANK(Tableau1425272914[[#This Row],[Description de la tâche]]),"",Tableau1425272914[[#This Row],[Description de la tâche]])</f>
        <v/>
      </c>
      <c r="B13" s="4" t="str">
        <f>IF(ISBLANK(Tableau1425272914[[#This Row],[Durée estimée]]),"",Tableau1425272914[[#This Row],[Durée estimée]])</f>
        <v/>
      </c>
      <c r="C13" s="4" t="str">
        <f>IF(ISBLANK(Tableau1425272914[[#This Row],[Durée estimée2]]),"",Tableau1425272914[[#This Row],[Durée estimée2]])</f>
        <v/>
      </c>
      <c r="D13" s="4" t="str">
        <f>IF(ISBLANK(Tableau1425272914[[#This Row],[Durée estimée3]]),"",Tableau1425272914[[#This Row],[Durée estimée3]])</f>
        <v/>
      </c>
      <c r="E13" s="4" t="str">
        <f>IF(ISBLANK(Tableau1425272914[[#This Row],[Durée estimée4]]),"",Tableau1425272914[[#This Row],[Durée estimée4]])</f>
        <v/>
      </c>
      <c r="F13" s="43">
        <f>SUM(Tableau13262815[[#This Row],[Durée réelle en heures]:[Durée réelle en heures4]])</f>
        <v>0</v>
      </c>
      <c r="G13" s="12">
        <f>IF('Séance 5'!F13=0,0,IF('Séance 4'!F13=0,"Nouvelle tâche",(('Séance 5'!F13)/'Séance 4'!F13)))</f>
        <v>0</v>
      </c>
      <c r="I13" s="3"/>
      <c r="J13" s="43"/>
      <c r="K13" s="43"/>
      <c r="L13" s="43"/>
      <c r="M13" s="43"/>
      <c r="N13" s="4">
        <f>SUM(Tableau1425272916[[#This Row],[Durée estimée]:[Durée estimée4]])</f>
        <v>0</v>
      </c>
    </row>
    <row r="14" spans="1:14" x14ac:dyDescent="0.25">
      <c r="A14" s="4" t="str">
        <f>IF(ISBLANK(Tableau1425272914[[#This Row],[Description de la tâche]]),"",Tableau1425272914[[#This Row],[Description de la tâche]])</f>
        <v/>
      </c>
      <c r="B14" s="4" t="str">
        <f>IF(ISBLANK(Tableau1425272914[[#This Row],[Durée estimée]]),"",Tableau1425272914[[#This Row],[Durée estimée]])</f>
        <v/>
      </c>
      <c r="C14" s="4" t="str">
        <f>IF(ISBLANK(Tableau1425272914[[#This Row],[Durée estimée2]]),"",Tableau1425272914[[#This Row],[Durée estimée2]])</f>
        <v/>
      </c>
      <c r="D14" s="4" t="str">
        <f>IF(ISBLANK(Tableau1425272914[[#This Row],[Durée estimée3]]),"",Tableau1425272914[[#This Row],[Durée estimée3]])</f>
        <v/>
      </c>
      <c r="E14" s="4" t="str">
        <f>IF(ISBLANK(Tableau1425272914[[#This Row],[Durée estimée4]]),"",Tableau1425272914[[#This Row],[Durée estimée4]])</f>
        <v/>
      </c>
      <c r="F14" s="43">
        <f>SUM(Tableau13262815[[#This Row],[Durée réelle en heures]:[Durée réelle en heures4]])</f>
        <v>0</v>
      </c>
      <c r="G14" s="12">
        <f>IF('Séance 5'!F14=0,0,IF('Séance 4'!F14=0,"Nouvelle tâche",(('Séance 5'!F14)/'Séance 4'!F14)))</f>
        <v>0</v>
      </c>
      <c r="I14" s="3"/>
      <c r="J14" s="43"/>
      <c r="K14" s="43"/>
      <c r="L14" s="43"/>
      <c r="M14" s="43"/>
      <c r="N14" s="4">
        <f>SUM(Tableau1425272916[[#This Row],[Durée estimée]:[Durée estimée4]])</f>
        <v>0</v>
      </c>
    </row>
    <row r="15" spans="1:14" x14ac:dyDescent="0.25">
      <c r="A15" s="4" t="str">
        <f>IF(ISBLANK(Tableau1425272914[[#This Row],[Description de la tâche]]),"",Tableau1425272914[[#This Row],[Description de la tâche]])</f>
        <v/>
      </c>
      <c r="B15" s="4" t="str">
        <f>IF(ISBLANK(Tableau1425272914[[#This Row],[Durée estimée]]),"",Tableau1425272914[[#This Row],[Durée estimée]])</f>
        <v/>
      </c>
      <c r="C15" s="4" t="str">
        <f>IF(ISBLANK(Tableau1425272914[[#This Row],[Durée estimée2]]),"",Tableau1425272914[[#This Row],[Durée estimée2]])</f>
        <v/>
      </c>
      <c r="D15" s="4" t="str">
        <f>IF(ISBLANK(Tableau1425272914[[#This Row],[Durée estimée3]]),"",Tableau1425272914[[#This Row],[Durée estimée3]])</f>
        <v/>
      </c>
      <c r="E15" s="4" t="str">
        <f>IF(ISBLANK(Tableau1425272914[[#This Row],[Durée estimée4]]),"",Tableau1425272914[[#This Row],[Durée estimée4]])</f>
        <v/>
      </c>
      <c r="F15" s="43">
        <f>SUM(Tableau13262815[[#This Row],[Durée réelle en heures]:[Durée réelle en heures4]])</f>
        <v>0</v>
      </c>
      <c r="G15" s="12">
        <f>IF('Séance 5'!F15=0,0,IF('Séance 4'!F15=0,"Nouvelle tâche",(('Séance 5'!F15)/'Séance 4'!F15)))</f>
        <v>0</v>
      </c>
      <c r="I15" s="3"/>
      <c r="J15" s="43"/>
      <c r="K15" s="43"/>
      <c r="L15" s="43"/>
      <c r="M15" s="43"/>
      <c r="N15" s="4">
        <f>SUM(Tableau1425272916[[#This Row],[Durée estimée]:[Durée estimée4]])</f>
        <v>0</v>
      </c>
    </row>
    <row r="16" spans="1:14" x14ac:dyDescent="0.25">
      <c r="A16" s="4" t="str">
        <f>IF(ISBLANK(Tableau1425272914[[#This Row],[Description de la tâche]]),"",Tableau1425272914[[#This Row],[Description de la tâche]])</f>
        <v/>
      </c>
      <c r="B16" s="4" t="str">
        <f>IF(ISBLANK(Tableau1425272914[[#This Row],[Durée estimée]]),"",Tableau1425272914[[#This Row],[Durée estimée]])</f>
        <v/>
      </c>
      <c r="C16" s="4" t="str">
        <f>IF(ISBLANK(Tableau1425272914[[#This Row],[Durée estimée2]]),"",Tableau1425272914[[#This Row],[Durée estimée2]])</f>
        <v/>
      </c>
      <c r="D16" s="4" t="str">
        <f>IF(ISBLANK(Tableau1425272914[[#This Row],[Durée estimée3]]),"",Tableau1425272914[[#This Row],[Durée estimée3]])</f>
        <v/>
      </c>
      <c r="E16" s="4" t="str">
        <f>IF(ISBLANK(Tableau1425272914[[#This Row],[Durée estimée4]]),"",Tableau1425272914[[#This Row],[Durée estimée4]])</f>
        <v/>
      </c>
      <c r="F16" s="43">
        <f>SUM(Tableau13262815[[#This Row],[Durée réelle en heures]:[Durée réelle en heures4]])</f>
        <v>0</v>
      </c>
      <c r="G16" s="12">
        <f>IF('Séance 5'!F16=0,0,IF('Séance 4'!F16=0,"Nouvelle tâche",(('Séance 5'!F16)/'Séance 4'!F16)))</f>
        <v>0</v>
      </c>
      <c r="I16" s="3"/>
      <c r="J16" s="43"/>
      <c r="K16" s="43"/>
      <c r="L16" s="43"/>
      <c r="M16" s="43"/>
      <c r="N16" s="4">
        <f>SUM(Tableau1425272916[[#This Row],[Durée estimée]:[Durée estimée4]])</f>
        <v>0</v>
      </c>
    </row>
    <row r="17" spans="1:14" x14ac:dyDescent="0.25">
      <c r="A17" s="4" t="str">
        <f>IF(ISBLANK(Tableau1425272914[[#This Row],[Description de la tâche]]),"",Tableau1425272914[[#This Row],[Description de la tâche]])</f>
        <v/>
      </c>
      <c r="B17" s="4" t="str">
        <f>IF(ISBLANK(Tableau1425272914[[#This Row],[Durée estimée]]),"",Tableau1425272914[[#This Row],[Durée estimée]])</f>
        <v/>
      </c>
      <c r="C17" s="4" t="str">
        <f>IF(ISBLANK(Tableau1425272914[[#This Row],[Durée estimée2]]),"",Tableau1425272914[[#This Row],[Durée estimée2]])</f>
        <v/>
      </c>
      <c r="D17" s="4" t="str">
        <f>IF(ISBLANK(Tableau1425272914[[#This Row],[Durée estimée3]]),"",Tableau1425272914[[#This Row],[Durée estimée3]])</f>
        <v/>
      </c>
      <c r="E17" s="4" t="str">
        <f>IF(ISBLANK(Tableau1425272914[[#This Row],[Durée estimée4]]),"",Tableau1425272914[[#This Row],[Durée estimée4]])</f>
        <v/>
      </c>
      <c r="F17" s="43">
        <f>SUM(Tableau13262815[[#This Row],[Durée réelle en heures]:[Durée réelle en heures4]])</f>
        <v>0</v>
      </c>
      <c r="G17" s="12">
        <f>IF('Séance 5'!F17=0,0,IF('Séance 4'!F17=0,"Nouvelle tâche",(('Séance 5'!F17)/'Séance 4'!F17)))</f>
        <v>0</v>
      </c>
      <c r="I17" s="3"/>
      <c r="J17" s="43"/>
      <c r="K17" s="43"/>
      <c r="L17" s="43"/>
      <c r="M17" s="43"/>
      <c r="N17" s="4">
        <f>SUM(Tableau1425272916[[#This Row],[Durée estimée]:[Durée estimée4]])</f>
        <v>0</v>
      </c>
    </row>
    <row r="18" spans="1:14" x14ac:dyDescent="0.25">
      <c r="A18" s="4" t="str">
        <f>IF(ISBLANK(Tableau1425272914[[#This Row],[Description de la tâche]]),"",Tableau1425272914[[#This Row],[Description de la tâche]])</f>
        <v/>
      </c>
      <c r="B18" s="4" t="str">
        <f>IF(ISBLANK(Tableau1425272914[[#This Row],[Durée estimée]]),"",Tableau1425272914[[#This Row],[Durée estimée]])</f>
        <v/>
      </c>
      <c r="C18" s="4" t="str">
        <f>IF(ISBLANK(Tableau1425272914[[#This Row],[Durée estimée2]]),"",Tableau1425272914[[#This Row],[Durée estimée2]])</f>
        <v/>
      </c>
      <c r="D18" s="4" t="str">
        <f>IF(ISBLANK(Tableau1425272914[[#This Row],[Durée estimée3]]),"",Tableau1425272914[[#This Row],[Durée estimée3]])</f>
        <v/>
      </c>
      <c r="E18" s="4" t="str">
        <f>IF(ISBLANK(Tableau1425272914[[#This Row],[Durée estimée4]]),"",Tableau1425272914[[#This Row],[Durée estimée4]])</f>
        <v/>
      </c>
      <c r="F18" s="43">
        <f>SUM(Tableau13262815[[#This Row],[Durée réelle en heures]:[Durée réelle en heures4]])</f>
        <v>0</v>
      </c>
      <c r="G18" s="12">
        <f>IF('Séance 5'!F18=0,0,IF('Séance 4'!F18=0,"Nouvelle tâche",(('Séance 5'!F18)/'Séance 4'!F18)))</f>
        <v>0</v>
      </c>
      <c r="I18" s="3"/>
      <c r="J18" s="43"/>
      <c r="K18" s="43"/>
      <c r="L18" s="43"/>
      <c r="M18" s="43"/>
      <c r="N18" s="4">
        <f>SUM(Tableau1425272916[[#This Row],[Durée estimée]:[Durée estimée4]])</f>
        <v>0</v>
      </c>
    </row>
    <row r="19" spans="1:14" x14ac:dyDescent="0.25">
      <c r="A19" s="4" t="str">
        <f>IF(ISBLANK(Tableau1425272914[[#This Row],[Description de la tâche]]),"",Tableau1425272914[[#This Row],[Description de la tâche]])</f>
        <v/>
      </c>
      <c r="B19" s="4" t="str">
        <f>IF(ISBLANK(Tableau1425272914[[#This Row],[Durée estimée]]),"",Tableau1425272914[[#This Row],[Durée estimée]])</f>
        <v/>
      </c>
      <c r="C19" s="4" t="str">
        <f>IF(ISBLANK(Tableau1425272914[[#This Row],[Durée estimée2]]),"",Tableau1425272914[[#This Row],[Durée estimée2]])</f>
        <v/>
      </c>
      <c r="D19" s="4" t="str">
        <f>IF(ISBLANK(Tableau1425272914[[#This Row],[Durée estimée3]]),"",Tableau1425272914[[#This Row],[Durée estimée3]])</f>
        <v/>
      </c>
      <c r="E19" s="4" t="str">
        <f>IF(ISBLANK(Tableau1425272914[[#This Row],[Durée estimée4]]),"",Tableau1425272914[[#This Row],[Durée estimée4]])</f>
        <v/>
      </c>
      <c r="F19" s="43">
        <f>SUM(Tableau13262815[[#This Row],[Durée réelle en heures]:[Durée réelle en heures4]])</f>
        <v>0</v>
      </c>
      <c r="G19" s="12">
        <f>IF('Séance 5'!F19=0,0,IF('Séance 4'!F19=0,"Nouvelle tâche",(('Séance 5'!F19)/'Séance 4'!F19)))</f>
        <v>0</v>
      </c>
      <c r="I19" s="3"/>
      <c r="J19" s="43"/>
      <c r="K19" s="43"/>
      <c r="L19" s="43"/>
      <c r="M19" s="43"/>
      <c r="N19" s="4">
        <f>SUM(Tableau1425272916[[#This Row],[Durée estimée]:[Durée estimée4]])</f>
        <v>0</v>
      </c>
    </row>
    <row r="20" spans="1:14" x14ac:dyDescent="0.25">
      <c r="A20" s="4" t="str">
        <f>IF(ISBLANK(Tableau1425272914[[#This Row],[Description de la tâche]]),"",Tableau1425272914[[#This Row],[Description de la tâche]])</f>
        <v/>
      </c>
      <c r="B20" s="4" t="str">
        <f>IF(ISBLANK(Tableau1425272914[[#This Row],[Durée estimée]]),"",Tableau1425272914[[#This Row],[Durée estimée]])</f>
        <v/>
      </c>
      <c r="C20" s="4" t="str">
        <f>IF(ISBLANK(Tableau1425272914[[#This Row],[Durée estimée2]]),"",Tableau1425272914[[#This Row],[Durée estimée2]])</f>
        <v/>
      </c>
      <c r="D20" s="4" t="str">
        <f>IF(ISBLANK(Tableau1425272914[[#This Row],[Durée estimée3]]),"",Tableau1425272914[[#This Row],[Durée estimée3]])</f>
        <v/>
      </c>
      <c r="E20" s="4" t="str">
        <f>IF(ISBLANK(Tableau1425272914[[#This Row],[Durée estimée4]]),"",Tableau1425272914[[#This Row],[Durée estimée4]])</f>
        <v/>
      </c>
      <c r="F20" s="43">
        <f>SUM(Tableau13262815[[#This Row],[Durée réelle en heures]:[Durée réelle en heures4]])</f>
        <v>0</v>
      </c>
      <c r="G20" s="12">
        <f>IF('Séance 5'!F20=0,0,IF('Séance 4'!F20=0,"Nouvelle tâche",(('Séance 5'!F20)/'Séance 4'!F20)))</f>
        <v>0</v>
      </c>
      <c r="I20" s="3"/>
      <c r="J20" s="43"/>
      <c r="K20" s="43"/>
      <c r="L20" s="43"/>
      <c r="M20" s="43"/>
      <c r="N20" s="4">
        <f>SUM(Tableau1425272916[[#This Row],[Durée estimée]:[Durée estimée4]])</f>
        <v>0</v>
      </c>
    </row>
    <row r="21" spans="1:14" x14ac:dyDescent="0.25">
      <c r="A21" s="4" t="str">
        <f>IF(ISBLANK(Tableau1425272914[[#This Row],[Description de la tâche]]),"",Tableau1425272914[[#This Row],[Description de la tâche]])</f>
        <v/>
      </c>
      <c r="B21" s="4" t="str">
        <f>IF(ISBLANK(Tableau1425272914[[#This Row],[Durée estimée]]),"",Tableau1425272914[[#This Row],[Durée estimée]])</f>
        <v/>
      </c>
      <c r="C21" s="4" t="str">
        <f>IF(ISBLANK(Tableau1425272914[[#This Row],[Durée estimée2]]),"",Tableau1425272914[[#This Row],[Durée estimée2]])</f>
        <v/>
      </c>
      <c r="D21" s="4" t="str">
        <f>IF(ISBLANK(Tableau1425272914[[#This Row],[Durée estimée3]]),"",Tableau1425272914[[#This Row],[Durée estimée3]])</f>
        <v/>
      </c>
      <c r="E21" s="4" t="str">
        <f>IF(ISBLANK(Tableau1425272914[[#This Row],[Durée estimée4]]),"",Tableau1425272914[[#This Row],[Durée estimée4]])</f>
        <v/>
      </c>
      <c r="F21" s="43">
        <f>SUM(Tableau13262815[[#This Row],[Durée réelle en heures]:[Durée réelle en heures4]])</f>
        <v>0</v>
      </c>
      <c r="G21" s="12">
        <f>IF('Séance 5'!F21=0,0,IF('Séance 4'!F21=0,"Nouvelle tâche",(('Séance 5'!F21)/'Séance 4'!F21)))</f>
        <v>0</v>
      </c>
      <c r="I21" s="3"/>
      <c r="J21" s="43"/>
      <c r="K21" s="43"/>
      <c r="L21" s="43"/>
      <c r="M21" s="43"/>
      <c r="N21" s="4">
        <f>SUM(Tableau1425272916[[#This Row],[Durée estimée]:[Durée estimée4]])</f>
        <v>0</v>
      </c>
    </row>
    <row r="22" spans="1:14" x14ac:dyDescent="0.25">
      <c r="A22" s="4" t="str">
        <f>IF(ISBLANK(Tableau1425272914[[#This Row],[Description de la tâche]]),"",Tableau1425272914[[#This Row],[Description de la tâche]])</f>
        <v/>
      </c>
      <c r="B22" s="4" t="str">
        <f>IF(ISBLANK(Tableau1425272914[[#This Row],[Durée estimée]]),"",Tableau1425272914[[#This Row],[Durée estimée]])</f>
        <v/>
      </c>
      <c r="C22" s="4" t="str">
        <f>IF(ISBLANK(Tableau1425272914[[#This Row],[Durée estimée2]]),"",Tableau1425272914[[#This Row],[Durée estimée2]])</f>
        <v/>
      </c>
      <c r="D22" s="4" t="str">
        <f>IF(ISBLANK(Tableau1425272914[[#This Row],[Durée estimée3]]),"",Tableau1425272914[[#This Row],[Durée estimée3]])</f>
        <v/>
      </c>
      <c r="E22" s="4" t="str">
        <f>IF(ISBLANK(Tableau1425272914[[#This Row],[Durée estimée4]]),"",Tableau1425272914[[#This Row],[Durée estimée4]])</f>
        <v/>
      </c>
      <c r="F22" s="44">
        <f>SUM(Tableau13262815[[#This Row],[Durée réelle en heures]:[Durée réelle en heures4]])</f>
        <v>0</v>
      </c>
      <c r="G22" s="12">
        <f>IF('Séance 5'!F22=0,0,IF('Séance 4'!F22=0,"Nouvelle tâche",(('Séance 5'!F22)/'Séance 4'!F22)))</f>
        <v>0</v>
      </c>
      <c r="I22" s="19"/>
      <c r="J22" s="44"/>
      <c r="K22" s="44"/>
      <c r="L22" s="44"/>
      <c r="M22" s="44"/>
      <c r="N22" s="4">
        <f>SUM(Tableau1425272916[[#This Row],[Durée estimée]:[Durée estimée4]])</f>
        <v>0</v>
      </c>
    </row>
    <row r="23" spans="1:14" x14ac:dyDescent="0.25">
      <c r="A23" s="4" t="str">
        <f>IF(ISBLANK(Tableau1425272914[[#This Row],[Description de la tâche]]),"",Tableau1425272914[[#This Row],[Description de la tâche]])</f>
        <v/>
      </c>
      <c r="B23" s="4" t="str">
        <f>IF(ISBLANK(Tableau1425272914[[#This Row],[Durée estimée]]),"",Tableau1425272914[[#This Row],[Durée estimée]])</f>
        <v/>
      </c>
      <c r="C23" s="4" t="str">
        <f>IF(ISBLANK(Tableau1425272914[[#This Row],[Durée estimée2]]),"",Tableau1425272914[[#This Row],[Durée estimée2]])</f>
        <v/>
      </c>
      <c r="D23" s="4" t="str">
        <f>IF(ISBLANK(Tableau1425272914[[#This Row],[Durée estimée3]]),"",Tableau1425272914[[#This Row],[Durée estimée3]])</f>
        <v/>
      </c>
      <c r="E23" s="4" t="str">
        <f>IF(ISBLANK(Tableau1425272914[[#This Row],[Durée estimée4]]),"",Tableau1425272914[[#This Row],[Durée estimée4]])</f>
        <v/>
      </c>
      <c r="F23" s="43">
        <f>SUM(Tableau13262815[[#This Row],[Durée réelle en heures]:[Durée réelle en heures4]])</f>
        <v>0</v>
      </c>
      <c r="G23" s="12">
        <f>IF('Séance 5'!F23=0,0,IF('Séance 4'!F23=0,"Nouvelle tâche",(('Séance 5'!F23)/'Séance 4'!F23)))</f>
        <v>0</v>
      </c>
      <c r="I23" s="3"/>
      <c r="J23" s="43"/>
      <c r="K23" s="43"/>
      <c r="L23" s="43"/>
      <c r="M23" s="43"/>
      <c r="N23" s="4">
        <f>SUM(Tableau1425272916[[#This Row],[Durée estimée]:[Durée estimée4]])</f>
        <v>0</v>
      </c>
    </row>
    <row r="24" spans="1:14" x14ac:dyDescent="0.25">
      <c r="A24" s="4" t="str">
        <f>IF(ISBLANK(Tableau1425272914[[#This Row],[Description de la tâche]]),"",Tableau1425272914[[#This Row],[Description de la tâche]])</f>
        <v/>
      </c>
      <c r="B24" s="4" t="str">
        <f>IF(ISBLANK(Tableau1425272914[[#This Row],[Durée estimée]]),"",Tableau1425272914[[#This Row],[Durée estimée]])</f>
        <v/>
      </c>
      <c r="C24" s="4" t="str">
        <f>IF(ISBLANK(Tableau1425272914[[#This Row],[Durée estimée2]]),"",Tableau1425272914[[#This Row],[Durée estimée2]])</f>
        <v/>
      </c>
      <c r="D24" s="4" t="str">
        <f>IF(ISBLANK(Tableau1425272914[[#This Row],[Durée estimée3]]),"",Tableau1425272914[[#This Row],[Durée estimée3]])</f>
        <v/>
      </c>
      <c r="E24" s="4" t="str">
        <f>IF(ISBLANK(Tableau1425272914[[#This Row],[Durée estimée4]]),"",Tableau1425272914[[#This Row],[Durée estimée4]])</f>
        <v/>
      </c>
      <c r="F24" s="43">
        <f>SUM(Tableau13262815[[#This Row],[Durée réelle en heures]:[Durée réelle en heures4]])</f>
        <v>0</v>
      </c>
      <c r="G24" s="12">
        <f>IF('Séance 5'!F24=0,0,IF('Séance 4'!F25=0,"Nouvelle tâche",(('Séance 5'!F24)/'Séance 4'!F25)))</f>
        <v>0</v>
      </c>
      <c r="I24" s="3"/>
      <c r="J24" s="43"/>
      <c r="K24" s="43"/>
      <c r="L24" s="43"/>
      <c r="M24" s="43"/>
      <c r="N24" s="4">
        <f>SUM(Tableau1425272916[[#This Row],[Durée estimée]:[Durée estimée4]])</f>
        <v>0</v>
      </c>
    </row>
    <row r="25" spans="1:14" ht="15.75" thickBot="1" x14ac:dyDescent="0.3">
      <c r="A25" s="4" t="str">
        <f>IF(ISBLANK(Tableau1425272914[[#This Row],[Description de la tâche]]),"",Tableau1425272914[[#This Row],[Description de la tâche]])</f>
        <v/>
      </c>
      <c r="B25" s="4" t="str">
        <f>IF(ISBLANK(Tableau1425272914[[#This Row],[Durée estimée]]),"",Tableau1425272914[[#This Row],[Durée estimée]])</f>
        <v/>
      </c>
      <c r="C25" s="4" t="str">
        <f>IF(ISBLANK(Tableau1425272914[[#This Row],[Durée estimée2]]),"",Tableau1425272914[[#This Row],[Durée estimée2]])</f>
        <v/>
      </c>
      <c r="D25" s="4" t="str">
        <f>IF(ISBLANK(Tableau1425272914[[#This Row],[Durée estimée3]]),"",Tableau1425272914[[#This Row],[Durée estimée3]])</f>
        <v/>
      </c>
      <c r="E25" s="4" t="str">
        <f>IF(ISBLANK(Tableau1425272914[[#This Row],[Durée estimée4]]),"",Tableau1425272914[[#This Row],[Durée estimée4]])</f>
        <v/>
      </c>
      <c r="F25" s="44">
        <f>SUM(Tableau13262815[[#This Row],[Durée réelle en heures]:[Durée réelle en heures4]])</f>
        <v>0</v>
      </c>
      <c r="G25" s="12">
        <f>IF('Séance 5'!F25=0,0,IF('Séance 4'!F26=0,"Nouvelle tâche",(('Séance 5'!F25)/'Séance 4'!F26)))</f>
        <v>0</v>
      </c>
      <c r="I25" s="19"/>
      <c r="J25" s="44"/>
      <c r="K25" s="44"/>
      <c r="L25" s="44"/>
      <c r="M25" s="44"/>
      <c r="N25" s="4">
        <f>SUM(Tableau1425272916[[#This Row],[Durée estimée]:[Durée estimée4]])</f>
        <v>0</v>
      </c>
    </row>
    <row r="26" spans="1:14" x14ac:dyDescent="0.25">
      <c r="A26" s="62" t="s">
        <v>13</v>
      </c>
      <c r="B26" s="63">
        <f>SUM(B3:B25)</f>
        <v>0</v>
      </c>
      <c r="C26" s="63">
        <f>SUM(C3:C25)</f>
        <v>0</v>
      </c>
      <c r="D26" s="63">
        <f>SUM(D3:D25)</f>
        <v>0</v>
      </c>
      <c r="E26" s="63">
        <f>SUM(E3:E25)</f>
        <v>0</v>
      </c>
      <c r="F26" s="48">
        <f>SUM(F3:F25)</f>
        <v>0</v>
      </c>
      <c r="G26" s="20">
        <f>SUM(Tableau13262815[[#This Row],[Durée réelle en heures]:[Total réel]])</f>
        <v>0</v>
      </c>
      <c r="I26" s="16" t="s">
        <v>18</v>
      </c>
      <c r="J26" s="45">
        <f>SUM(J3:J25)</f>
        <v>0</v>
      </c>
      <c r="K26" s="45">
        <f>SUM(K3:K25)</f>
        <v>0</v>
      </c>
      <c r="L26" s="45">
        <f>SUM(L3:L25)</f>
        <v>0</v>
      </c>
      <c r="M26" s="45">
        <f>SUM(M3:M25)</f>
        <v>0</v>
      </c>
      <c r="N26" s="21">
        <f>SUM(N3:N25)</f>
        <v>0</v>
      </c>
    </row>
    <row r="27" spans="1:14" ht="27" thickBot="1" x14ac:dyDescent="0.3">
      <c r="A27" s="13" t="s">
        <v>14</v>
      </c>
      <c r="B27" s="50" t="str">
        <f>IF($G$26=0,"Non renseigné",B26/$G$26*100)</f>
        <v>Non renseigné</v>
      </c>
      <c r="C27" s="50" t="str">
        <f>IF($G$26=0,"Non renseigné",C26/$G$26*100)</f>
        <v>Non renseigné</v>
      </c>
      <c r="D27" s="50" t="str">
        <f>IF($G$26=0,"Non renseigné",D26/$G$26*100)</f>
        <v>Non renseigné</v>
      </c>
      <c r="E27" s="50" t="str">
        <f>IF($G$26=0,"Non renseigné",E26/$G$26*100)</f>
        <v>Non renseigné</v>
      </c>
      <c r="F27" s="47">
        <f>SUM(Tableau13262815[[#This Row],[Durée réelle en heures]:[Durée réelle en heures4]])</f>
        <v>0</v>
      </c>
      <c r="G27" s="14">
        <f>SUM(Tableau13262815[[#This Row],[Durée réelle en heures]:[Total réel]])</f>
        <v>0</v>
      </c>
      <c r="H27" s="1"/>
      <c r="I27" s="22" t="s">
        <v>19</v>
      </c>
      <c r="J27" s="46" t="str">
        <f>IF($N$26=0,"Non renseigné",J26/$N$26*100)</f>
        <v>Non renseigné</v>
      </c>
      <c r="K27" s="46" t="str">
        <f>IF($N$26=0,"Non renseigné",K26/$N$26*100)</f>
        <v>Non renseigné</v>
      </c>
      <c r="L27" s="46" t="str">
        <f t="shared" ref="L27:M27" si="0">IF($N$26=0,"Non renseigné",L26/$N$26*100)</f>
        <v>Non renseigné</v>
      </c>
      <c r="M27" s="46" t="str">
        <f t="shared" si="0"/>
        <v>Non renseigné</v>
      </c>
      <c r="N27" s="23">
        <f>SUM(Tableau1425272916[[#This Row],[Durée estimée]:[Durée estimée4]])</f>
        <v>0</v>
      </c>
    </row>
    <row r="28" spans="1:14" x14ac:dyDescent="0.25">
      <c r="A28" s="1"/>
      <c r="B28" s="1"/>
      <c r="C28" s="1"/>
      <c r="D28" s="1"/>
      <c r="E28" s="1"/>
      <c r="F28" s="1"/>
      <c r="G28" s="1"/>
    </row>
    <row r="29" spans="1:14" x14ac:dyDescent="0.25">
      <c r="A29" s="1"/>
      <c r="B29" s="1"/>
      <c r="C29" s="1"/>
      <c r="D29" s="1"/>
      <c r="E29" s="1"/>
      <c r="F29" s="1"/>
      <c r="G29" s="1"/>
    </row>
    <row r="36" spans="1:7" x14ac:dyDescent="0.25">
      <c r="A36" s="1"/>
      <c r="B36" s="1"/>
      <c r="C36" s="1"/>
      <c r="D36" s="1"/>
      <c r="E36" s="1"/>
      <c r="F36" s="1"/>
      <c r="G36" s="1"/>
    </row>
  </sheetData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565F6-923A-42BC-BF11-AD91A21190DB}">
  <dimension ref="A1:H36"/>
  <sheetViews>
    <sheetView zoomScale="85" zoomScaleNormal="85" workbookViewId="0">
      <selection activeCell="O19" sqref="O19"/>
    </sheetView>
  </sheetViews>
  <sheetFormatPr baseColWidth="10" defaultRowHeight="15" x14ac:dyDescent="0.25"/>
  <cols>
    <col min="1" max="1" width="22.7109375" customWidth="1"/>
    <col min="2" max="2" width="13" customWidth="1"/>
  </cols>
  <sheetData>
    <row r="1" spans="1:7" ht="26.25" x14ac:dyDescent="0.25">
      <c r="A1" s="7" t="s">
        <v>16</v>
      </c>
      <c r="B1" s="8" t="str">
        <f>Synthèse!D2</f>
        <v>Nom1</v>
      </c>
      <c r="C1" s="8" t="str">
        <f>Synthèse!D3</f>
        <v>Nom2</v>
      </c>
      <c r="D1" s="8" t="str">
        <f>Synthèse!D4</f>
        <v>Nom3</v>
      </c>
      <c r="E1" s="8" t="str">
        <f>Synthèse!D5</f>
        <v>Nom4</v>
      </c>
      <c r="F1" s="8"/>
      <c r="G1" s="9"/>
    </row>
    <row r="2" spans="1:7" ht="51.75" x14ac:dyDescent="0.25">
      <c r="A2" s="10" t="s">
        <v>38</v>
      </c>
      <c r="B2" s="6" t="s">
        <v>39</v>
      </c>
      <c r="C2" s="6" t="s">
        <v>40</v>
      </c>
      <c r="D2" s="6" t="s">
        <v>41</v>
      </c>
      <c r="E2" s="6" t="s">
        <v>42</v>
      </c>
      <c r="F2" s="6" t="s">
        <v>36</v>
      </c>
      <c r="G2" s="11" t="s">
        <v>37</v>
      </c>
    </row>
    <row r="3" spans="1:7" x14ac:dyDescent="0.25">
      <c r="A3" s="4" t="str">
        <f>IF(ISBLANK(Tableau1425272916[[#This Row],[Description de la tâche]]),"",Tableau1425272916[[#This Row],[Description de la tâche]])</f>
        <v/>
      </c>
      <c r="B3" s="4" t="str">
        <f>IF(ISBLANK(Tableau1425272916[[#This Row],[Durée estimée]]),"",Tableau1425272916[[#This Row],[Durée estimée]])</f>
        <v/>
      </c>
      <c r="C3" s="4" t="str">
        <f>IF(ISBLANK(Tableau1425272916[[#This Row],[Durée estimée2]]),"",Tableau1425272916[[#This Row],[Durée estimée2]])</f>
        <v/>
      </c>
      <c r="D3" s="4" t="str">
        <f>IF(ISBLANK(Tableau1425272916[[#This Row],[Durée estimée3]]),"",Tableau1425272916[[#This Row],[Durée estimée3]])</f>
        <v/>
      </c>
      <c r="E3" s="4" t="str">
        <f>IF(ISBLANK(Tableau1425272916[[#This Row],[Durée estimée4]]),"",Tableau1425272916[[#This Row],[Durée estimée4]])</f>
        <v/>
      </c>
      <c r="F3" s="43">
        <f>SUM(Tableau13262817[[#This Row],[Durée réelle en heures]:[Durée réelle en heures4]])</f>
        <v>0</v>
      </c>
      <c r="G3" s="12">
        <f>IF('Séance 5'!F3=0,0,IF('Séance 4'!F3=0,"Nouvelle tâche",(('Séance 5'!F3)/'Séance 4'!F3)))</f>
        <v>0</v>
      </c>
    </row>
    <row r="4" spans="1:7" x14ac:dyDescent="0.25">
      <c r="A4" s="4" t="str">
        <f>IF(ISBLANK(Tableau1425272916[[#This Row],[Description de la tâche]]),"",Tableau1425272916[[#This Row],[Description de la tâche]])</f>
        <v/>
      </c>
      <c r="B4" s="4" t="str">
        <f>IF(ISBLANK(Tableau1425272916[[#This Row],[Durée estimée]]),"",Tableau1425272916[[#This Row],[Durée estimée]])</f>
        <v/>
      </c>
      <c r="C4" s="4" t="str">
        <f>IF(ISBLANK(Tableau1425272916[[#This Row],[Durée estimée2]]),"",Tableau1425272916[[#This Row],[Durée estimée2]])</f>
        <v/>
      </c>
      <c r="D4" s="4" t="str">
        <f>IF(ISBLANK(Tableau1425272916[[#This Row],[Durée estimée3]]),"",Tableau1425272916[[#This Row],[Durée estimée3]])</f>
        <v/>
      </c>
      <c r="E4" s="4" t="str">
        <f>IF(ISBLANK(Tableau1425272916[[#This Row],[Durée estimée4]]),"",Tableau1425272916[[#This Row],[Durée estimée4]])</f>
        <v/>
      </c>
      <c r="F4" s="43">
        <f>SUM(Tableau13262817[[#This Row],[Durée réelle en heures]:[Durée réelle en heures4]])</f>
        <v>0</v>
      </c>
      <c r="G4" s="12">
        <f>IF('Séance 5'!F4=0,0,IF('Séance 4'!F4=0,"Nouvelle tâche",(('Séance 5'!F4)/'Séance 4'!F4)))</f>
        <v>0</v>
      </c>
    </row>
    <row r="5" spans="1:7" x14ac:dyDescent="0.25">
      <c r="A5" s="4" t="str">
        <f>IF(ISBLANK(Tableau1425272916[[#This Row],[Description de la tâche]]),"",Tableau1425272916[[#This Row],[Description de la tâche]])</f>
        <v/>
      </c>
      <c r="B5" s="4" t="str">
        <f>IF(ISBLANK(Tableau1425272916[[#This Row],[Durée estimée]]),"",Tableau1425272916[[#This Row],[Durée estimée]])</f>
        <v/>
      </c>
      <c r="C5" s="4" t="str">
        <f>IF(ISBLANK(Tableau1425272916[[#This Row],[Durée estimée2]]),"",Tableau1425272916[[#This Row],[Durée estimée2]])</f>
        <v/>
      </c>
      <c r="D5" s="4" t="str">
        <f>IF(ISBLANK(Tableau1425272916[[#This Row],[Durée estimée3]]),"",Tableau1425272916[[#This Row],[Durée estimée3]])</f>
        <v/>
      </c>
      <c r="E5" s="4" t="str">
        <f>IF(ISBLANK(Tableau1425272916[[#This Row],[Durée estimée4]]),"",Tableau1425272916[[#This Row],[Durée estimée4]])</f>
        <v/>
      </c>
      <c r="F5" s="43">
        <f>SUM(Tableau13262817[[#This Row],[Durée réelle en heures]:[Durée réelle en heures4]])</f>
        <v>0</v>
      </c>
      <c r="G5" s="12">
        <f>IF('Séance 5'!F5=0,0,IF('Séance 4'!F5=0,"Nouvelle tâche",(('Séance 5'!F5)/'Séance 4'!F5)))</f>
        <v>0</v>
      </c>
    </row>
    <row r="6" spans="1:7" x14ac:dyDescent="0.25">
      <c r="A6" s="4" t="str">
        <f>IF(ISBLANK(Tableau1425272916[[#This Row],[Description de la tâche]]),"",Tableau1425272916[[#This Row],[Description de la tâche]])</f>
        <v/>
      </c>
      <c r="B6" s="4" t="str">
        <f>IF(ISBLANK(Tableau1425272916[[#This Row],[Durée estimée]]),"",Tableau1425272916[[#This Row],[Durée estimée]])</f>
        <v/>
      </c>
      <c r="C6" s="4" t="str">
        <f>IF(ISBLANK(Tableau1425272916[[#This Row],[Durée estimée2]]),"",Tableau1425272916[[#This Row],[Durée estimée2]])</f>
        <v/>
      </c>
      <c r="D6" s="4" t="str">
        <f>IF(ISBLANK(Tableau1425272916[[#This Row],[Durée estimée3]]),"",Tableau1425272916[[#This Row],[Durée estimée3]])</f>
        <v/>
      </c>
      <c r="E6" s="4" t="str">
        <f>IF(ISBLANK(Tableau1425272916[[#This Row],[Durée estimée4]]),"",Tableau1425272916[[#This Row],[Durée estimée4]])</f>
        <v/>
      </c>
      <c r="F6" s="43">
        <f>SUM(Tableau13262817[[#This Row],[Durée réelle en heures]:[Durée réelle en heures4]])</f>
        <v>0</v>
      </c>
      <c r="G6" s="12">
        <f>IF('Séance 5'!F6=0,0,IF('Séance 4'!F6=0,"Nouvelle tâche",(('Séance 5'!F6)/'Séance 4'!F6)))</f>
        <v>0</v>
      </c>
    </row>
    <row r="7" spans="1:7" x14ac:dyDescent="0.25">
      <c r="A7" s="4" t="str">
        <f>IF(ISBLANK(Tableau1425272916[[#This Row],[Description de la tâche]]),"",Tableau1425272916[[#This Row],[Description de la tâche]])</f>
        <v/>
      </c>
      <c r="B7" s="4" t="str">
        <f>IF(ISBLANK(Tableau1425272916[[#This Row],[Durée estimée]]),"",Tableau1425272916[[#This Row],[Durée estimée]])</f>
        <v/>
      </c>
      <c r="C7" s="4" t="str">
        <f>IF(ISBLANK(Tableau1425272916[[#This Row],[Durée estimée2]]),"",Tableau1425272916[[#This Row],[Durée estimée2]])</f>
        <v/>
      </c>
      <c r="D7" s="4" t="str">
        <f>IF(ISBLANK(Tableau1425272916[[#This Row],[Durée estimée3]]),"",Tableau1425272916[[#This Row],[Durée estimée3]])</f>
        <v/>
      </c>
      <c r="E7" s="4" t="str">
        <f>IF(ISBLANK(Tableau1425272916[[#This Row],[Durée estimée4]]),"",Tableau1425272916[[#This Row],[Durée estimée4]])</f>
        <v/>
      </c>
      <c r="F7" s="43">
        <f>SUM(Tableau13262817[[#This Row],[Durée réelle en heures]:[Durée réelle en heures4]])</f>
        <v>0</v>
      </c>
      <c r="G7" s="12">
        <f>IF('Séance 5'!F7=0,0,IF('Séance 4'!F7=0,"Nouvelle tâche",(('Séance 5'!F7)/'Séance 4'!F7)))</f>
        <v>0</v>
      </c>
    </row>
    <row r="8" spans="1:7" x14ac:dyDescent="0.25">
      <c r="A8" s="4" t="str">
        <f>IF(ISBLANK(Tableau1425272916[[#This Row],[Description de la tâche]]),"",Tableau1425272916[[#This Row],[Description de la tâche]])</f>
        <v/>
      </c>
      <c r="B8" s="4" t="str">
        <f>IF(ISBLANK(Tableau1425272916[[#This Row],[Durée estimée]]),"",Tableau1425272916[[#This Row],[Durée estimée]])</f>
        <v/>
      </c>
      <c r="C8" s="4" t="str">
        <f>IF(ISBLANK(Tableau1425272916[[#This Row],[Durée estimée2]]),"",Tableau1425272916[[#This Row],[Durée estimée2]])</f>
        <v/>
      </c>
      <c r="D8" s="4" t="str">
        <f>IF(ISBLANK(Tableau1425272916[[#This Row],[Durée estimée3]]),"",Tableau1425272916[[#This Row],[Durée estimée3]])</f>
        <v/>
      </c>
      <c r="E8" s="4" t="str">
        <f>IF(ISBLANK(Tableau1425272916[[#This Row],[Durée estimée4]]),"",Tableau1425272916[[#This Row],[Durée estimée4]])</f>
        <v/>
      </c>
      <c r="F8" s="43">
        <f>SUM(Tableau13262817[[#This Row],[Durée réelle en heures]:[Durée réelle en heures4]])</f>
        <v>0</v>
      </c>
      <c r="G8" s="12">
        <f>IF('Séance 5'!F8=0,0,IF('Séance 4'!F8=0,"Nouvelle tâche",(('Séance 5'!F8)/'Séance 4'!F8)))</f>
        <v>0</v>
      </c>
    </row>
    <row r="9" spans="1:7" x14ac:dyDescent="0.25">
      <c r="A9" s="4" t="str">
        <f>IF(ISBLANK(Tableau1425272916[[#This Row],[Description de la tâche]]),"",Tableau1425272916[[#This Row],[Description de la tâche]])</f>
        <v/>
      </c>
      <c r="B9" s="4" t="str">
        <f>IF(ISBLANK(Tableau1425272916[[#This Row],[Durée estimée]]),"",Tableau1425272916[[#This Row],[Durée estimée]])</f>
        <v/>
      </c>
      <c r="C9" s="4" t="str">
        <f>IF(ISBLANK(Tableau1425272916[[#This Row],[Durée estimée2]]),"",Tableau1425272916[[#This Row],[Durée estimée2]])</f>
        <v/>
      </c>
      <c r="D9" s="4" t="str">
        <f>IF(ISBLANK(Tableau1425272916[[#This Row],[Durée estimée3]]),"",Tableau1425272916[[#This Row],[Durée estimée3]])</f>
        <v/>
      </c>
      <c r="E9" s="4" t="str">
        <f>IF(ISBLANK(Tableau1425272916[[#This Row],[Durée estimée4]]),"",Tableau1425272916[[#This Row],[Durée estimée4]])</f>
        <v/>
      </c>
      <c r="F9" s="43">
        <f>SUM(Tableau13262817[[#This Row],[Durée réelle en heures]:[Durée réelle en heures4]])</f>
        <v>0</v>
      </c>
      <c r="G9" s="12">
        <f>IF('Séance 5'!F9=0,0,IF('Séance 4'!F9=0,"Nouvelle tâche",(('Séance 5'!F9)/'Séance 4'!F9)))</f>
        <v>0</v>
      </c>
    </row>
    <row r="10" spans="1:7" x14ac:dyDescent="0.25">
      <c r="A10" s="4" t="str">
        <f>IF(ISBLANK(Tableau1425272916[[#This Row],[Description de la tâche]]),"",Tableau1425272916[[#This Row],[Description de la tâche]])</f>
        <v/>
      </c>
      <c r="B10" s="4" t="str">
        <f>IF(ISBLANK(Tableau1425272916[[#This Row],[Durée estimée]]),"",Tableau1425272916[[#This Row],[Durée estimée]])</f>
        <v/>
      </c>
      <c r="C10" s="4" t="str">
        <f>IF(ISBLANK(Tableau1425272916[[#This Row],[Durée estimée2]]),"",Tableau1425272916[[#This Row],[Durée estimée2]])</f>
        <v/>
      </c>
      <c r="D10" s="4" t="str">
        <f>IF(ISBLANK(Tableau1425272916[[#This Row],[Durée estimée3]]),"",Tableau1425272916[[#This Row],[Durée estimée3]])</f>
        <v/>
      </c>
      <c r="E10" s="4" t="str">
        <f>IF(ISBLANK(Tableau1425272916[[#This Row],[Durée estimée4]]),"",Tableau1425272916[[#This Row],[Durée estimée4]])</f>
        <v/>
      </c>
      <c r="F10" s="43">
        <f>SUM(Tableau13262817[[#This Row],[Durée réelle en heures]:[Durée réelle en heures4]])</f>
        <v>0</v>
      </c>
      <c r="G10" s="12">
        <f>IF('Séance 5'!F10=0,0,IF('Séance 4'!F10=0,"Nouvelle tâche",(('Séance 5'!F10)/'Séance 4'!F10)))</f>
        <v>0</v>
      </c>
    </row>
    <row r="11" spans="1:7" x14ac:dyDescent="0.25">
      <c r="A11" s="4" t="str">
        <f>IF(ISBLANK(Tableau1425272916[[#This Row],[Description de la tâche]]),"",Tableau1425272916[[#This Row],[Description de la tâche]])</f>
        <v/>
      </c>
      <c r="B11" s="4" t="str">
        <f>IF(ISBLANK(Tableau1425272916[[#This Row],[Durée estimée]]),"",Tableau1425272916[[#This Row],[Durée estimée]])</f>
        <v/>
      </c>
      <c r="C11" s="4" t="str">
        <f>IF(ISBLANK(Tableau1425272916[[#This Row],[Durée estimée2]]),"",Tableau1425272916[[#This Row],[Durée estimée2]])</f>
        <v/>
      </c>
      <c r="D11" s="4" t="str">
        <f>IF(ISBLANK(Tableau1425272916[[#This Row],[Durée estimée3]]),"",Tableau1425272916[[#This Row],[Durée estimée3]])</f>
        <v/>
      </c>
      <c r="E11" s="4" t="str">
        <f>IF(ISBLANK(Tableau1425272916[[#This Row],[Durée estimée4]]),"",Tableau1425272916[[#This Row],[Durée estimée4]])</f>
        <v/>
      </c>
      <c r="F11" s="43">
        <f>SUM(Tableau13262817[[#This Row],[Durée réelle en heures]:[Durée réelle en heures4]])</f>
        <v>0</v>
      </c>
      <c r="G11" s="12">
        <f>IF('Séance 5'!F11=0,0,IF('Séance 4'!F11=0,"Nouvelle tâche",(('Séance 5'!F11)/'Séance 4'!F11)))</f>
        <v>0</v>
      </c>
    </row>
    <row r="12" spans="1:7" x14ac:dyDescent="0.25">
      <c r="A12" s="4" t="str">
        <f>IF(ISBLANK(Tableau1425272916[[#This Row],[Description de la tâche]]),"",Tableau1425272916[[#This Row],[Description de la tâche]])</f>
        <v/>
      </c>
      <c r="B12" s="4" t="str">
        <f>IF(ISBLANK(Tableau1425272916[[#This Row],[Durée estimée]]),"",Tableau1425272916[[#This Row],[Durée estimée]])</f>
        <v/>
      </c>
      <c r="C12" s="4" t="str">
        <f>IF(ISBLANK(Tableau1425272916[[#This Row],[Durée estimée2]]),"",Tableau1425272916[[#This Row],[Durée estimée2]])</f>
        <v/>
      </c>
      <c r="D12" s="4" t="str">
        <f>IF(ISBLANK(Tableau1425272916[[#This Row],[Durée estimée3]]),"",Tableau1425272916[[#This Row],[Durée estimée3]])</f>
        <v/>
      </c>
      <c r="E12" s="4" t="str">
        <f>IF(ISBLANK(Tableau1425272916[[#This Row],[Durée estimée4]]),"",Tableau1425272916[[#This Row],[Durée estimée4]])</f>
        <v/>
      </c>
      <c r="F12" s="43">
        <f>SUM(Tableau13262817[[#This Row],[Durée réelle en heures]:[Durée réelle en heures4]])</f>
        <v>0</v>
      </c>
      <c r="G12" s="12">
        <f>IF('Séance 5'!F12=0,0,IF('Séance 4'!F12=0,"Nouvelle tâche",(('Séance 5'!F12)/'Séance 4'!F12)))</f>
        <v>0</v>
      </c>
    </row>
    <row r="13" spans="1:7" x14ac:dyDescent="0.25">
      <c r="A13" s="4" t="str">
        <f>IF(ISBLANK(Tableau1425272916[[#This Row],[Description de la tâche]]),"",Tableau1425272916[[#This Row],[Description de la tâche]])</f>
        <v/>
      </c>
      <c r="B13" s="4" t="str">
        <f>IF(ISBLANK(Tableau1425272916[[#This Row],[Durée estimée]]),"",Tableau1425272916[[#This Row],[Durée estimée]])</f>
        <v/>
      </c>
      <c r="C13" s="4" t="str">
        <f>IF(ISBLANK(Tableau1425272916[[#This Row],[Durée estimée2]]),"",Tableau1425272916[[#This Row],[Durée estimée2]])</f>
        <v/>
      </c>
      <c r="D13" s="4" t="str">
        <f>IF(ISBLANK(Tableau1425272916[[#This Row],[Durée estimée3]]),"",Tableau1425272916[[#This Row],[Durée estimée3]])</f>
        <v/>
      </c>
      <c r="E13" s="4" t="str">
        <f>IF(ISBLANK(Tableau1425272916[[#This Row],[Durée estimée4]]),"",Tableau1425272916[[#This Row],[Durée estimée4]])</f>
        <v/>
      </c>
      <c r="F13" s="43">
        <f>SUM(Tableau13262817[[#This Row],[Durée réelle en heures]:[Durée réelle en heures4]])</f>
        <v>0</v>
      </c>
      <c r="G13" s="12">
        <f>IF('Séance 5'!F13=0,0,IF('Séance 4'!F13=0,"Nouvelle tâche",(('Séance 5'!F13)/'Séance 4'!F13)))</f>
        <v>0</v>
      </c>
    </row>
    <row r="14" spans="1:7" x14ac:dyDescent="0.25">
      <c r="A14" s="4" t="str">
        <f>IF(ISBLANK(Tableau1425272916[[#This Row],[Description de la tâche]]),"",Tableau1425272916[[#This Row],[Description de la tâche]])</f>
        <v/>
      </c>
      <c r="B14" s="4" t="str">
        <f>IF(ISBLANK(Tableau1425272916[[#This Row],[Durée estimée]]),"",Tableau1425272916[[#This Row],[Durée estimée]])</f>
        <v/>
      </c>
      <c r="C14" s="4" t="str">
        <f>IF(ISBLANK(Tableau1425272916[[#This Row],[Durée estimée2]]),"",Tableau1425272916[[#This Row],[Durée estimée2]])</f>
        <v/>
      </c>
      <c r="D14" s="4" t="str">
        <f>IF(ISBLANK(Tableau1425272916[[#This Row],[Durée estimée3]]),"",Tableau1425272916[[#This Row],[Durée estimée3]])</f>
        <v/>
      </c>
      <c r="E14" s="4" t="str">
        <f>IF(ISBLANK(Tableau1425272916[[#This Row],[Durée estimée4]]),"",Tableau1425272916[[#This Row],[Durée estimée4]])</f>
        <v/>
      </c>
      <c r="F14" s="43">
        <f>SUM(Tableau13262817[[#This Row],[Durée réelle en heures]:[Durée réelle en heures4]])</f>
        <v>0</v>
      </c>
      <c r="G14" s="12">
        <f>IF('Séance 5'!F14=0,0,IF('Séance 4'!F14=0,"Nouvelle tâche",(('Séance 5'!F14)/'Séance 4'!F14)))</f>
        <v>0</v>
      </c>
    </row>
    <row r="15" spans="1:7" x14ac:dyDescent="0.25">
      <c r="A15" s="4" t="str">
        <f>IF(ISBLANK(Tableau1425272916[[#This Row],[Description de la tâche]]),"",Tableau1425272916[[#This Row],[Description de la tâche]])</f>
        <v/>
      </c>
      <c r="B15" s="4" t="str">
        <f>IF(ISBLANK(Tableau1425272916[[#This Row],[Durée estimée]]),"",Tableau1425272916[[#This Row],[Durée estimée]])</f>
        <v/>
      </c>
      <c r="C15" s="4" t="str">
        <f>IF(ISBLANK(Tableau1425272916[[#This Row],[Durée estimée2]]),"",Tableau1425272916[[#This Row],[Durée estimée2]])</f>
        <v/>
      </c>
      <c r="D15" s="4" t="str">
        <f>IF(ISBLANK(Tableau1425272916[[#This Row],[Durée estimée3]]),"",Tableau1425272916[[#This Row],[Durée estimée3]])</f>
        <v/>
      </c>
      <c r="E15" s="4" t="str">
        <f>IF(ISBLANK(Tableau1425272916[[#This Row],[Durée estimée4]]),"",Tableau1425272916[[#This Row],[Durée estimée4]])</f>
        <v/>
      </c>
      <c r="F15" s="43">
        <f>SUM(Tableau13262817[[#This Row],[Durée réelle en heures]:[Durée réelle en heures4]])</f>
        <v>0</v>
      </c>
      <c r="G15" s="12">
        <f>IF('Séance 5'!F15=0,0,IF('Séance 4'!F15=0,"Nouvelle tâche",(('Séance 5'!F15)/'Séance 4'!F15)))</f>
        <v>0</v>
      </c>
    </row>
    <row r="16" spans="1:7" x14ac:dyDescent="0.25">
      <c r="A16" s="4" t="str">
        <f>IF(ISBLANK(Tableau1425272916[[#This Row],[Description de la tâche]]),"",Tableau1425272916[[#This Row],[Description de la tâche]])</f>
        <v/>
      </c>
      <c r="B16" s="4" t="str">
        <f>IF(ISBLANK(Tableau1425272916[[#This Row],[Durée estimée]]),"",Tableau1425272916[[#This Row],[Durée estimée]])</f>
        <v/>
      </c>
      <c r="C16" s="4" t="str">
        <f>IF(ISBLANK(Tableau1425272916[[#This Row],[Durée estimée2]]),"",Tableau1425272916[[#This Row],[Durée estimée2]])</f>
        <v/>
      </c>
      <c r="D16" s="4" t="str">
        <f>IF(ISBLANK(Tableau1425272916[[#This Row],[Durée estimée3]]),"",Tableau1425272916[[#This Row],[Durée estimée3]])</f>
        <v/>
      </c>
      <c r="E16" s="4" t="str">
        <f>IF(ISBLANK(Tableau1425272916[[#This Row],[Durée estimée4]]),"",Tableau1425272916[[#This Row],[Durée estimée4]])</f>
        <v/>
      </c>
      <c r="F16" s="43">
        <f>SUM(Tableau13262817[[#This Row],[Durée réelle en heures]:[Durée réelle en heures4]])</f>
        <v>0</v>
      </c>
      <c r="G16" s="12">
        <f>IF('Séance 5'!F16=0,0,IF('Séance 4'!F16=0,"Nouvelle tâche",(('Séance 5'!F16)/'Séance 4'!F16)))</f>
        <v>0</v>
      </c>
    </row>
    <row r="17" spans="1:8" x14ac:dyDescent="0.25">
      <c r="A17" s="4" t="str">
        <f>IF(ISBLANK(Tableau1425272916[[#This Row],[Description de la tâche]]),"",Tableau1425272916[[#This Row],[Description de la tâche]])</f>
        <v/>
      </c>
      <c r="B17" s="4" t="str">
        <f>IF(ISBLANK(Tableau1425272916[[#This Row],[Durée estimée]]),"",Tableau1425272916[[#This Row],[Durée estimée]])</f>
        <v/>
      </c>
      <c r="C17" s="4" t="str">
        <f>IF(ISBLANK(Tableau1425272916[[#This Row],[Durée estimée2]]),"",Tableau1425272916[[#This Row],[Durée estimée2]])</f>
        <v/>
      </c>
      <c r="D17" s="4" t="str">
        <f>IF(ISBLANK(Tableau1425272916[[#This Row],[Durée estimée3]]),"",Tableau1425272916[[#This Row],[Durée estimée3]])</f>
        <v/>
      </c>
      <c r="E17" s="4" t="str">
        <f>IF(ISBLANK(Tableau1425272916[[#This Row],[Durée estimée4]]),"",Tableau1425272916[[#This Row],[Durée estimée4]])</f>
        <v/>
      </c>
      <c r="F17" s="43">
        <f>SUM(Tableau13262817[[#This Row],[Durée réelle en heures]:[Durée réelle en heures4]])</f>
        <v>0</v>
      </c>
      <c r="G17" s="12">
        <f>IF('Séance 5'!F17=0,0,IF('Séance 4'!F17=0,"Nouvelle tâche",(('Séance 5'!F17)/'Séance 4'!F17)))</f>
        <v>0</v>
      </c>
    </row>
    <row r="18" spans="1:8" x14ac:dyDescent="0.25">
      <c r="A18" s="4" t="str">
        <f>IF(ISBLANK(Tableau1425272916[[#This Row],[Description de la tâche]]),"",Tableau1425272916[[#This Row],[Description de la tâche]])</f>
        <v/>
      </c>
      <c r="B18" s="4" t="str">
        <f>IF(ISBLANK(Tableau1425272916[[#This Row],[Durée estimée]]),"",Tableau1425272916[[#This Row],[Durée estimée]])</f>
        <v/>
      </c>
      <c r="C18" s="4" t="str">
        <f>IF(ISBLANK(Tableau1425272916[[#This Row],[Durée estimée2]]),"",Tableau1425272916[[#This Row],[Durée estimée2]])</f>
        <v/>
      </c>
      <c r="D18" s="4" t="str">
        <f>IF(ISBLANK(Tableau1425272916[[#This Row],[Durée estimée3]]),"",Tableau1425272916[[#This Row],[Durée estimée3]])</f>
        <v/>
      </c>
      <c r="E18" s="4" t="str">
        <f>IF(ISBLANK(Tableau1425272916[[#This Row],[Durée estimée4]]),"",Tableau1425272916[[#This Row],[Durée estimée4]])</f>
        <v/>
      </c>
      <c r="F18" s="43">
        <f>SUM(Tableau13262817[[#This Row],[Durée réelle en heures]:[Durée réelle en heures4]])</f>
        <v>0</v>
      </c>
      <c r="G18" s="12">
        <f>IF('Séance 5'!F18=0,0,IF('Séance 4'!F18=0,"Nouvelle tâche",(('Séance 5'!F18)/'Séance 4'!F18)))</f>
        <v>0</v>
      </c>
    </row>
    <row r="19" spans="1:8" x14ac:dyDescent="0.25">
      <c r="A19" s="4" t="str">
        <f>IF(ISBLANK(Tableau1425272916[[#This Row],[Description de la tâche]]),"",Tableau1425272916[[#This Row],[Description de la tâche]])</f>
        <v/>
      </c>
      <c r="B19" s="4" t="str">
        <f>IF(ISBLANK(Tableau1425272916[[#This Row],[Durée estimée]]),"",Tableau1425272916[[#This Row],[Durée estimée]])</f>
        <v/>
      </c>
      <c r="C19" s="4" t="str">
        <f>IF(ISBLANK(Tableau1425272916[[#This Row],[Durée estimée2]]),"",Tableau1425272916[[#This Row],[Durée estimée2]])</f>
        <v/>
      </c>
      <c r="D19" s="4" t="str">
        <f>IF(ISBLANK(Tableau1425272916[[#This Row],[Durée estimée3]]),"",Tableau1425272916[[#This Row],[Durée estimée3]])</f>
        <v/>
      </c>
      <c r="E19" s="4" t="str">
        <f>IF(ISBLANK(Tableau1425272916[[#This Row],[Durée estimée4]]),"",Tableau1425272916[[#This Row],[Durée estimée4]])</f>
        <v/>
      </c>
      <c r="F19" s="43">
        <f>SUM(Tableau13262817[[#This Row],[Durée réelle en heures]:[Durée réelle en heures4]])</f>
        <v>0</v>
      </c>
      <c r="G19" s="12">
        <f>IF('Séance 5'!F19=0,0,IF('Séance 4'!F19=0,"Nouvelle tâche",(('Séance 5'!F19)/'Séance 4'!F19)))</f>
        <v>0</v>
      </c>
    </row>
    <row r="20" spans="1:8" x14ac:dyDescent="0.25">
      <c r="A20" s="4" t="str">
        <f>IF(ISBLANK(Tableau1425272916[[#This Row],[Description de la tâche]]),"",Tableau1425272916[[#This Row],[Description de la tâche]])</f>
        <v/>
      </c>
      <c r="B20" s="4" t="str">
        <f>IF(ISBLANK(Tableau1425272916[[#This Row],[Durée estimée]]),"",Tableau1425272916[[#This Row],[Durée estimée]])</f>
        <v/>
      </c>
      <c r="C20" s="4" t="str">
        <f>IF(ISBLANK(Tableau1425272916[[#This Row],[Durée estimée2]]),"",Tableau1425272916[[#This Row],[Durée estimée2]])</f>
        <v/>
      </c>
      <c r="D20" s="4" t="str">
        <f>IF(ISBLANK(Tableau1425272916[[#This Row],[Durée estimée3]]),"",Tableau1425272916[[#This Row],[Durée estimée3]])</f>
        <v/>
      </c>
      <c r="E20" s="4" t="str">
        <f>IF(ISBLANK(Tableau1425272916[[#This Row],[Durée estimée4]]),"",Tableau1425272916[[#This Row],[Durée estimée4]])</f>
        <v/>
      </c>
      <c r="F20" s="43">
        <f>SUM(Tableau13262817[[#This Row],[Durée réelle en heures]:[Durée réelle en heures4]])</f>
        <v>0</v>
      </c>
      <c r="G20" s="12">
        <f>IF('Séance 5'!F20=0,0,IF('Séance 4'!F20=0,"Nouvelle tâche",(('Séance 5'!F20)/'Séance 4'!F20)))</f>
        <v>0</v>
      </c>
    </row>
    <row r="21" spans="1:8" x14ac:dyDescent="0.25">
      <c r="A21" s="4" t="str">
        <f>IF(ISBLANK(Tableau1425272916[[#This Row],[Description de la tâche]]),"",Tableau1425272916[[#This Row],[Description de la tâche]])</f>
        <v/>
      </c>
      <c r="B21" s="4" t="str">
        <f>IF(ISBLANK(Tableau1425272916[[#This Row],[Durée estimée]]),"",Tableau1425272916[[#This Row],[Durée estimée]])</f>
        <v/>
      </c>
      <c r="C21" s="4" t="str">
        <f>IF(ISBLANK(Tableau1425272916[[#This Row],[Durée estimée2]]),"",Tableau1425272916[[#This Row],[Durée estimée2]])</f>
        <v/>
      </c>
      <c r="D21" s="4" t="str">
        <f>IF(ISBLANK(Tableau1425272916[[#This Row],[Durée estimée3]]),"",Tableau1425272916[[#This Row],[Durée estimée3]])</f>
        <v/>
      </c>
      <c r="E21" s="4" t="str">
        <f>IF(ISBLANK(Tableau1425272916[[#This Row],[Durée estimée4]]),"",Tableau1425272916[[#This Row],[Durée estimée4]])</f>
        <v/>
      </c>
      <c r="F21" s="43">
        <f>SUM(Tableau13262817[[#This Row],[Durée réelle en heures]:[Durée réelle en heures4]])</f>
        <v>0</v>
      </c>
      <c r="G21" s="12">
        <f>IF('Séance 5'!F21=0,0,IF('Séance 4'!F21=0,"Nouvelle tâche",(('Séance 5'!F21)/'Séance 4'!F21)))</f>
        <v>0</v>
      </c>
    </row>
    <row r="22" spans="1:8" x14ac:dyDescent="0.25">
      <c r="A22" s="4" t="str">
        <f>IF(ISBLANK(Tableau1425272916[[#This Row],[Description de la tâche]]),"",Tableau1425272916[[#This Row],[Description de la tâche]])</f>
        <v/>
      </c>
      <c r="B22" s="4" t="str">
        <f>IF(ISBLANK(Tableau1425272916[[#This Row],[Durée estimée]]),"",Tableau1425272916[[#This Row],[Durée estimée]])</f>
        <v/>
      </c>
      <c r="C22" s="4" t="str">
        <f>IF(ISBLANK(Tableau1425272916[[#This Row],[Durée estimée2]]),"",Tableau1425272916[[#This Row],[Durée estimée2]])</f>
        <v/>
      </c>
      <c r="D22" s="4" t="str">
        <f>IF(ISBLANK(Tableau1425272916[[#This Row],[Durée estimée3]]),"",Tableau1425272916[[#This Row],[Durée estimée3]])</f>
        <v/>
      </c>
      <c r="E22" s="4" t="str">
        <f>IF(ISBLANK(Tableau1425272916[[#This Row],[Durée estimée4]]),"",Tableau1425272916[[#This Row],[Durée estimée4]])</f>
        <v/>
      </c>
      <c r="F22" s="44">
        <f>SUM(Tableau13262817[[#This Row],[Durée réelle en heures]:[Durée réelle en heures4]])</f>
        <v>0</v>
      </c>
      <c r="G22" s="12">
        <f>IF('Séance 5'!F22=0,0,IF('Séance 4'!F22=0,"Nouvelle tâche",(('Séance 5'!F22)/'Séance 4'!F22)))</f>
        <v>0</v>
      </c>
    </row>
    <row r="23" spans="1:8" x14ac:dyDescent="0.25">
      <c r="A23" s="4" t="str">
        <f>IF(ISBLANK(Tableau1425272916[[#This Row],[Description de la tâche]]),"",Tableau1425272916[[#This Row],[Description de la tâche]])</f>
        <v/>
      </c>
      <c r="B23" s="4" t="str">
        <f>IF(ISBLANK(Tableau1425272916[[#This Row],[Durée estimée]]),"",Tableau1425272916[[#This Row],[Durée estimée]])</f>
        <v/>
      </c>
      <c r="C23" s="4" t="str">
        <f>IF(ISBLANK(Tableau1425272916[[#This Row],[Durée estimée2]]),"",Tableau1425272916[[#This Row],[Durée estimée2]])</f>
        <v/>
      </c>
      <c r="D23" s="4" t="str">
        <f>IF(ISBLANK(Tableau1425272916[[#This Row],[Durée estimée3]]),"",Tableau1425272916[[#This Row],[Durée estimée3]])</f>
        <v/>
      </c>
      <c r="E23" s="4" t="str">
        <f>IF(ISBLANK(Tableau1425272916[[#This Row],[Durée estimée4]]),"",Tableau1425272916[[#This Row],[Durée estimée4]])</f>
        <v/>
      </c>
      <c r="F23" s="43">
        <f>SUM(Tableau13262817[[#This Row],[Durée réelle en heures]:[Durée réelle en heures4]])</f>
        <v>0</v>
      </c>
      <c r="G23" s="12">
        <f>IF('Séance 5'!F23=0,0,IF('Séance 4'!F23=0,"Nouvelle tâche",(('Séance 5'!F23)/'Séance 4'!F23)))</f>
        <v>0</v>
      </c>
    </row>
    <row r="24" spans="1:8" x14ac:dyDescent="0.25">
      <c r="A24" s="4" t="str">
        <f>IF(ISBLANK(Tableau1425272916[[#This Row],[Description de la tâche]]),"",Tableau1425272916[[#This Row],[Description de la tâche]])</f>
        <v/>
      </c>
      <c r="B24" s="4" t="str">
        <f>IF(ISBLANK(Tableau1425272916[[#This Row],[Durée estimée]]),"",Tableau1425272916[[#This Row],[Durée estimée]])</f>
        <v/>
      </c>
      <c r="C24" s="4" t="str">
        <f>IF(ISBLANK(Tableau1425272916[[#This Row],[Durée estimée2]]),"",Tableau1425272916[[#This Row],[Durée estimée2]])</f>
        <v/>
      </c>
      <c r="D24" s="4" t="str">
        <f>IF(ISBLANK(Tableau1425272916[[#This Row],[Durée estimée3]]),"",Tableau1425272916[[#This Row],[Durée estimée3]])</f>
        <v/>
      </c>
      <c r="E24" s="4" t="str">
        <f>IF(ISBLANK(Tableau1425272916[[#This Row],[Durée estimée4]]),"",Tableau1425272916[[#This Row],[Durée estimée4]])</f>
        <v/>
      </c>
      <c r="F24" s="43">
        <f>SUM(Tableau13262817[[#This Row],[Durée réelle en heures]:[Durée réelle en heures4]])</f>
        <v>0</v>
      </c>
      <c r="G24" s="12">
        <f>IF('Séance 5'!F24=0,0,IF('Séance 4'!F25=0,"Nouvelle tâche",(('Séance 5'!F24)/'Séance 4'!F25)))</f>
        <v>0</v>
      </c>
    </row>
    <row r="25" spans="1:8" ht="15.75" thickBot="1" x14ac:dyDescent="0.3">
      <c r="A25" s="4" t="str">
        <f>IF(ISBLANK(Tableau1425272916[[#This Row],[Description de la tâche]]),"",Tableau1425272916[[#This Row],[Description de la tâche]])</f>
        <v/>
      </c>
      <c r="B25" s="4" t="str">
        <f>IF(ISBLANK(Tableau1425272916[[#This Row],[Durée estimée]]),"",Tableau1425272916[[#This Row],[Durée estimée]])</f>
        <v/>
      </c>
      <c r="C25" s="4" t="str">
        <f>IF(ISBLANK(Tableau1425272916[[#This Row],[Durée estimée2]]),"",Tableau1425272916[[#This Row],[Durée estimée2]])</f>
        <v/>
      </c>
      <c r="D25" s="4" t="str">
        <f>IF(ISBLANK(Tableau1425272916[[#This Row],[Durée estimée3]]),"",Tableau1425272916[[#This Row],[Durée estimée3]])</f>
        <v/>
      </c>
      <c r="E25" s="4" t="str">
        <f>IF(ISBLANK(Tableau1425272916[[#This Row],[Durée estimée4]]),"",Tableau1425272916[[#This Row],[Durée estimée4]])</f>
        <v/>
      </c>
      <c r="F25" s="44">
        <f>SUM(Tableau13262817[[#This Row],[Durée réelle en heures]:[Durée réelle en heures4]])</f>
        <v>0</v>
      </c>
      <c r="G25" s="12">
        <f>IF('Séance 5'!F25=0,0,IF('Séance 4'!F26=0,"Nouvelle tâche",(('Séance 5'!F25)/'Séance 4'!F26)))</f>
        <v>0</v>
      </c>
    </row>
    <row r="26" spans="1:8" x14ac:dyDescent="0.25">
      <c r="A26" s="62" t="s">
        <v>13</v>
      </c>
      <c r="B26" s="63">
        <f>SUM(B3:B25)</f>
        <v>0</v>
      </c>
      <c r="C26" s="63">
        <f>SUM(C3:C25)</f>
        <v>0</v>
      </c>
      <c r="D26" s="63">
        <f>SUM(D3:D25)</f>
        <v>0</v>
      </c>
      <c r="E26" s="63">
        <f>SUM(E3:E25)</f>
        <v>0</v>
      </c>
      <c r="F26" s="48">
        <f>SUM(F3:F25)</f>
        <v>0</v>
      </c>
      <c r="G26" s="20">
        <f>SUM(Tableau13262817[[#This Row],[Durée réelle en heures]:[Total réel]])</f>
        <v>0</v>
      </c>
    </row>
    <row r="27" spans="1:8" ht="27" thickBot="1" x14ac:dyDescent="0.3">
      <c r="A27" s="13" t="s">
        <v>14</v>
      </c>
      <c r="B27" s="50" t="str">
        <f>IF($G$26=0,"Non renseigné",B26/$G$26*100)</f>
        <v>Non renseigné</v>
      </c>
      <c r="C27" s="50" t="str">
        <f>IF($G$26=0,"Non renseigné",C26/$G$26*100)</f>
        <v>Non renseigné</v>
      </c>
      <c r="D27" s="50" t="str">
        <f>IF($G$26=0,"Non renseigné",D26/$G$26*100)</f>
        <v>Non renseigné</v>
      </c>
      <c r="E27" s="50" t="str">
        <f>IF($G$26=0,"Non renseigné",E26/$G$26*100)</f>
        <v>Non renseigné</v>
      </c>
      <c r="F27" s="47">
        <f>SUM(Tableau13262817[[#This Row],[Durée réelle en heures]:[Durée réelle en heures4]])</f>
        <v>0</v>
      </c>
      <c r="G27" s="14">
        <f>SUM(Tableau13262817[[#This Row],[Durée réelle en heures]:[Total réel]])</f>
        <v>0</v>
      </c>
      <c r="H27" s="1"/>
    </row>
    <row r="28" spans="1:8" x14ac:dyDescent="0.25">
      <c r="A28" s="1"/>
      <c r="B28" s="1"/>
      <c r="C28" s="1"/>
      <c r="D28" s="1"/>
      <c r="E28" s="1"/>
      <c r="F28" s="1"/>
      <c r="G28" s="1"/>
    </row>
    <row r="29" spans="1:8" x14ac:dyDescent="0.25">
      <c r="A29" s="1"/>
      <c r="B29" s="1"/>
      <c r="C29" s="1"/>
      <c r="D29" s="1"/>
      <c r="E29" s="1"/>
      <c r="F29" s="1"/>
      <c r="G29" s="1"/>
    </row>
    <row r="36" spans="1:7" x14ac:dyDescent="0.25">
      <c r="A36" s="1"/>
      <c r="B36" s="1"/>
      <c r="C36" s="1"/>
      <c r="D36" s="1"/>
      <c r="E36" s="1"/>
      <c r="F36" s="1"/>
      <c r="G36" s="1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Synthèse</vt:lpstr>
      <vt:lpstr>Séance 4</vt:lpstr>
      <vt:lpstr>Séance 5</vt:lpstr>
      <vt:lpstr>Séance 6</vt:lpstr>
      <vt:lpstr>Séance 7</vt:lpstr>
      <vt:lpstr>Séance 8</vt:lpstr>
      <vt:lpstr>Séance 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 Jaloux</dc:creator>
  <cp:lastModifiedBy>Christophe Jaloux</cp:lastModifiedBy>
  <dcterms:created xsi:type="dcterms:W3CDTF">2024-09-06T08:08:28Z</dcterms:created>
  <dcterms:modified xsi:type="dcterms:W3CDTF">2025-10-19T19:33:28Z</dcterms:modified>
</cp:coreProperties>
</file>